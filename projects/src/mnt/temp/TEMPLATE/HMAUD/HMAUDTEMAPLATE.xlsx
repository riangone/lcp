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I9" i="1" l="1"/>
  <c r="I10" i="1"/>
  <c r="F11" i="1"/>
  <c r="F12" i="1"/>
  <c r="F13" i="1"/>
  <c r="H10" i="1"/>
  <c r="H8" i="1"/>
  <c r="I8" i="1"/>
  <c r="G11" i="1"/>
  <c r="G12" i="1"/>
  <c r="G13" i="1"/>
  <c r="E11" i="1"/>
  <c r="E12" i="1"/>
  <c r="E13" i="1"/>
  <c r="J8" i="1"/>
  <c r="J10" i="1"/>
  <c r="J9" i="1"/>
</calcChain>
</file>

<file path=xl/sharedStrings.xml><?xml version="1.0" encoding="utf-8"?>
<sst xmlns="http://schemas.openxmlformats.org/spreadsheetml/2006/main" count="17" uniqueCount="15">
  <si>
    <t>領域</t>
    <rPh sb="0" eb="2">
      <t>リョウイキ</t>
    </rPh>
    <phoneticPr fontId="2"/>
  </si>
  <si>
    <t>業務手順書項目</t>
    <rPh sb="0" eb="5">
      <t>ギョウムテジュンショ</t>
    </rPh>
    <rPh sb="5" eb="7">
      <t>コウモク</t>
    </rPh>
    <phoneticPr fontId="2"/>
  </si>
  <si>
    <t>業務内容</t>
    <rPh sb="0" eb="2">
      <t>ギョウム</t>
    </rPh>
    <rPh sb="2" eb="4">
      <t>ナイヨウ</t>
    </rPh>
    <phoneticPr fontId="2"/>
  </si>
  <si>
    <t>監査項目</t>
    <rPh sb="0" eb="2">
      <t>カンサ</t>
    </rPh>
    <rPh sb="2" eb="4">
      <t>コウモク</t>
    </rPh>
    <phoneticPr fontId="2"/>
  </si>
  <si>
    <t>庄原店</t>
    <rPh sb="0" eb="3">
      <t>ショウバラテン</t>
    </rPh>
    <phoneticPr fontId="2"/>
  </si>
  <si>
    <t>合計</t>
    <rPh sb="0" eb="2">
      <t>ゴウケイ</t>
    </rPh>
    <phoneticPr fontId="2"/>
  </si>
  <si>
    <t>実施度合
（全１７拠点）</t>
    <rPh sb="0" eb="2">
      <t>ジッシ</t>
    </rPh>
    <rPh sb="2" eb="4">
      <t>ドア</t>
    </rPh>
    <rPh sb="6" eb="7">
      <t>ゼン</t>
    </rPh>
    <rPh sb="9" eb="11">
      <t>キョテン</t>
    </rPh>
    <phoneticPr fontId="2"/>
  </si>
  <si>
    <t>ランク
（項目）</t>
    <rPh sb="5" eb="7">
      <t>コウモク</t>
    </rPh>
    <phoneticPr fontId="2"/>
  </si>
  <si>
    <t>実施度合
（全29項目）</t>
    <rPh sb="0" eb="2">
      <t>ジッシ</t>
    </rPh>
    <rPh sb="2" eb="4">
      <t>ドア</t>
    </rPh>
    <rPh sb="6" eb="7">
      <t>ゼン</t>
    </rPh>
    <rPh sb="9" eb="11">
      <t>コウモク</t>
    </rPh>
    <phoneticPr fontId="2"/>
  </si>
  <si>
    <t>ランク（拠点）</t>
    <rPh sb="4" eb="6">
      <t>キョテン</t>
    </rPh>
    <phoneticPr fontId="2"/>
  </si>
  <si>
    <t>クール</t>
    <phoneticPr fontId="2"/>
  </si>
  <si>
    <t>XX</t>
    <phoneticPr fontId="2"/>
  </si>
  <si>
    <t>XXXXXX</t>
    <phoneticPr fontId="2"/>
  </si>
  <si>
    <t>ID</t>
    <phoneticPr fontId="2"/>
  </si>
  <si>
    <t>ボルボ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</si>
</sst>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;[Red]\-#,##0\ "/>
    <numFmt numFmtId="177" formatCode="0.0%"/>
  </numFmts>
  <fonts count="5">
    <font>
      <sz val="11"/>
      <color theme="1"/>
      <name val="ＭＳ Ｐゴシック"/>
      <family val="3"/>
      <charset val="128"/>
      <scheme val="minor"/>
    </font>
    <font>
      <sz val="9"/>
      <name val="宋体"/>
    </font>
    <font>
      <sz val="6"/>
      <name val="ＭＳ ゴシック"/>
      <family val="3"/>
      <charset val="128"/>
    </font>
    <font>
      <sz val="12"/>
      <name val="MS UI Gothic"/>
      <family val="3"/>
      <charset val="128"/>
    </font>
    <font>
      <sz val="12"/>
      <color theme="1"/>
      <name val="MS UI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76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76" fontId="4" fillId="2" borderId="1" xfId="0" applyNumberFormat="1" applyFont="1" applyFill="1" applyBorder="1" applyAlignment="1">
      <alignment horizontal="left" vertical="center" wrapText="1"/>
    </xf>
    <xf numFmtId="176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left" vertical="center" wrapText="1"/>
    </xf>
    <xf numFmtId="176" fontId="3" fillId="0" borderId="6" xfId="0" applyNumberFormat="1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9" fontId="4" fillId="2" borderId="8" xfId="0" applyNumberFormat="1" applyFont="1" applyFill="1" applyBorder="1" applyAlignment="1">
      <alignment horizontal="right" vertical="center" wrapText="1"/>
    </xf>
    <xf numFmtId="9" fontId="4" fillId="2" borderId="11" xfId="0" applyNumberFormat="1" applyFont="1" applyFill="1" applyBorder="1" applyAlignment="1">
      <alignment horizontal="right" vertical="center" wrapText="1"/>
    </xf>
    <xf numFmtId="177" fontId="4" fillId="0" borderId="12" xfId="0" applyNumberFormat="1" applyFont="1" applyFill="1" applyBorder="1" applyAlignment="1">
      <alignment horizontal="center" vertical="center" wrapText="1"/>
    </xf>
    <xf numFmtId="177" fontId="3" fillId="0" borderId="13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0" borderId="17" xfId="0" applyFont="1" applyFill="1" applyBorder="1" applyAlignment="1">
      <alignment vertical="center" wrapText="1"/>
    </xf>
    <xf numFmtId="177" fontId="4" fillId="0" borderId="1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left" vertical="center" wrapText="1"/>
    </xf>
    <xf numFmtId="176" fontId="3" fillId="0" borderId="18" xfId="0" applyNumberFormat="1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176" fontId="3" fillId="0" borderId="12" xfId="0" applyNumberFormat="1" applyFont="1" applyFill="1" applyBorder="1" applyAlignment="1">
      <alignment horizontal="left" vertical="center" wrapText="1"/>
    </xf>
    <xf numFmtId="176" fontId="3" fillId="0" borderId="14" xfId="0" applyNumberFormat="1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177" fontId="4" fillId="0" borderId="10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177" fontId="4" fillId="0" borderId="13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Views>
    <sheetView tabSelected="1" zoomScale="70" zoomScaleNormal="70" workbookViewId="0"/>
  </sheetViews>
  <sheetFormatPr defaultColWidth="9" defaultRowHeight="14.25"/>
  <cols>
    <col min="1" max="1" width="7.625" style="1" customWidth="1"/>
    <col min="2" max="2" width="25.625" style="1" customWidth="1"/>
    <col min="3" max="3" width="70.625" style="2" customWidth="1"/>
    <col min="4" max="4" width="60.625" style="3" customWidth="1"/>
    <col min="5" max="7" width="9" style="3" customWidth="1"/>
    <col min="8" max="8" width="9" style="2"/>
    <col min="9" max="9" width="13.75" style="2" customWidth="1"/>
    <col min="10" max="16384" width="9" style="2"/>
  </cols>
  <sheetData>
    <row r="1" spans="1:34">
      <c r="A1" s="1" t="s">
        <v>10</v>
      </c>
      <c r="B1" s="1" t="s">
        <v>11</v>
      </c>
      <c r="E1" s="4"/>
      <c r="F1" s="4"/>
    </row>
    <row r="2" spans="1:34">
      <c r="A2" s="1" t="s">
        <v>0</v>
      </c>
      <c r="B2" s="1" t="s">
        <v>12</v>
      </c>
    </row>
    <row r="3" spans="1:34">
      <c r="E3" s="4"/>
      <c r="F3" s="4"/>
    </row>
    <row r="6" spans="1:34" ht="15" thickBot="1"/>
    <row r="7" spans="1:34" ht="29.25" thickBot="1">
      <c r="A7" s="5" t="s">
        <v>13</v>
      </c>
      <c r="B7" s="6" t="s">
        <v>1</v>
      </c>
      <c r="C7" s="7" t="s">
        <v>2</v>
      </c>
      <c r="D7" s="8" t="s">
        <v>3</v>
      </c>
      <c r="E7" s="27" t="s">
        <v>4</v>
      </c>
      <c r="F7" s="27" t="s">
        <v>4</v>
      </c>
      <c r="G7" s="9" t="s">
        <v>14</v>
      </c>
      <c r="H7" s="10" t="s">
        <v>5</v>
      </c>
      <c r="I7" s="11" t="s">
        <v>6</v>
      </c>
      <c r="J7" s="2" t="s">
        <v>7</v>
      </c>
    </row>
    <row r="8" spans="1:34" s="16" customFormat="1">
      <c r="A8" s="12"/>
      <c r="B8" s="13"/>
      <c r="C8" s="14"/>
      <c r="D8" s="14"/>
      <c r="E8" s="15"/>
      <c r="F8" s="15"/>
      <c r="G8" s="32"/>
      <c r="H8" s="41">
        <f>COUNTA(E8:G8)</f>
        <v>0</v>
      </c>
      <c r="I8" s="42">
        <f>(17-H8)/17</f>
        <v>1</v>
      </c>
      <c r="J8" s="16">
        <f>RANK(I8,$I$8:$I$10)</f>
        <v>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s="16" customFormat="1">
      <c r="A9" s="29"/>
      <c r="B9" s="28"/>
      <c r="C9" s="25"/>
      <c r="D9" s="25"/>
      <c r="E9" s="30"/>
      <c r="F9" s="30"/>
      <c r="G9" s="31"/>
      <c r="H9" s="43"/>
      <c r="I9" s="44">
        <f>(17-H9)/17</f>
        <v>1</v>
      </c>
      <c r="J9" s="16">
        <f>RANK(I9,$I$8:$I$10)</f>
        <v>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s="24" customFormat="1" ht="15" thickBot="1">
      <c r="A10" s="33"/>
      <c r="B10" s="34"/>
      <c r="C10" s="35"/>
      <c r="D10" s="35"/>
      <c r="E10" s="39"/>
      <c r="F10" s="39"/>
      <c r="G10" s="40"/>
      <c r="H10" s="45">
        <f>COUNTA(E10:G10)</f>
        <v>0</v>
      </c>
      <c r="I10" s="46">
        <f>(17-H10)/17</f>
        <v>1</v>
      </c>
      <c r="J10" s="16">
        <f>RANK(I10,$I$8:$I$10)</f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D11" s="17" t="s">
        <v>5</v>
      </c>
      <c r="E11" s="36">
        <f>COUNTA(E8:E10)</f>
        <v>0</v>
      </c>
      <c r="F11" s="37">
        <f>COUNTA(F8:F10)</f>
        <v>0</v>
      </c>
      <c r="G11" s="38">
        <f>COUNTA(G8:G10)</f>
        <v>0</v>
      </c>
      <c r="H11" s="3"/>
      <c r="I11" s="3"/>
    </row>
    <row r="12" spans="1:34" ht="29.25" thickBot="1">
      <c r="D12" s="18" t="s">
        <v>8</v>
      </c>
      <c r="E12" s="19">
        <f>(29-E11)/29</f>
        <v>1</v>
      </c>
      <c r="F12" s="26">
        <f>(29-F11)/29</f>
        <v>1</v>
      </c>
      <c r="G12" s="20">
        <f>(29-G11)/29</f>
        <v>1</v>
      </c>
      <c r="H12" s="3"/>
      <c r="I12" s="3"/>
    </row>
    <row r="13" spans="1:34">
      <c r="D13" s="21" t="s">
        <v>9</v>
      </c>
      <c r="E13" s="22">
        <f>RANK(E12,$E$12:$G$12)</f>
        <v>1</v>
      </c>
      <c r="F13" s="22">
        <f>RANK(F12,$E$12:$G$12)</f>
        <v>1</v>
      </c>
      <c r="G13" s="22">
        <f>RANK(G12,$E$12:$G$12)</f>
        <v>1</v>
      </c>
      <c r="H13" s="23"/>
      <c r="I13" s="23"/>
    </row>
    <row r="14" spans="1:34">
      <c r="A14" s="2"/>
      <c r="B14" s="2"/>
      <c r="D14" s="21"/>
      <c r="E14" s="21"/>
      <c r="F14" s="21"/>
      <c r="G14" s="21"/>
      <c r="J14"/>
    </row>
    <row r="15" spans="1:34">
      <c r="A15" s="2"/>
      <c r="B15" s="2"/>
      <c r="D15" s="21"/>
      <c r="E15" s="21"/>
      <c r="F15" s="21"/>
      <c r="G15" s="2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2023-02-21T01:53:52Z</dcterms:modified>
</cp:coreProperties>
</file>