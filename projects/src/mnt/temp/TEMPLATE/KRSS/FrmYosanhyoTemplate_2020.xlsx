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3040" windowHeight="9336"/>
  </bookViews>
  <sheets>
    <sheet name="予算表" sheetId="1" r:id="rId1"/>
  </sheets>
  <definedNames>
    <definedName name="_xlnm.Print_Area" localSheetId="0">予算表!$B$1:$DJ$160</definedName>
    <definedName name="_xlnm.Print_Titles" localSheetId="0">予算表!$B:$O,予算表!$1:$9</definedName>
  </definedNames>
  <calcPr calcId="162913"/>
</workbook>
</file>

<file path=xl/calcChain.xml><?xml version="1.0" encoding="utf-8"?>
<calcChain xmlns="http://schemas.openxmlformats.org/spreadsheetml/2006/main">
  <c r="CZ80" i="1" l="1"/>
  <c r="CT80" i="1"/>
  <c r="CN80" i="1"/>
  <c r="CA80" i="1"/>
  <c r="BU80" i="1"/>
  <c r="BO80" i="1"/>
  <c r="BB80" i="1"/>
  <c r="AV80" i="1"/>
  <c r="AP80" i="1"/>
  <c r="AC80" i="1"/>
  <c r="W80" i="1"/>
  <c r="Q80" i="1"/>
  <c r="CZ101" i="1" l="1"/>
  <c r="CZ100" i="1"/>
  <c r="CZ99" i="1"/>
  <c r="CT101" i="1"/>
  <c r="CT100" i="1"/>
  <c r="CT99" i="1"/>
  <c r="CN101" i="1"/>
  <c r="CN100" i="1"/>
  <c r="CN99" i="1"/>
  <c r="CA101" i="1"/>
  <c r="CA100" i="1"/>
  <c r="CA99" i="1"/>
  <c r="BU101" i="1"/>
  <c r="BU100" i="1"/>
  <c r="BU99" i="1"/>
  <c r="BO101" i="1"/>
  <c r="BO100" i="1"/>
  <c r="BO99" i="1"/>
  <c r="BB101" i="1"/>
  <c r="BB100" i="1"/>
  <c r="BB99" i="1"/>
  <c r="AV101" i="1"/>
  <c r="AV100" i="1"/>
  <c r="AV99" i="1"/>
  <c r="AP101" i="1"/>
  <c r="AP100" i="1"/>
  <c r="AP99" i="1"/>
  <c r="AC101" i="1"/>
  <c r="AC100" i="1"/>
  <c r="AC99" i="1"/>
  <c r="W101" i="1"/>
  <c r="W100" i="1"/>
  <c r="W99" i="1"/>
  <c r="Q101" i="1"/>
  <c r="Q100" i="1"/>
  <c r="Q99" i="1"/>
  <c r="CZ61" i="1"/>
  <c r="CZ53" i="1"/>
  <c r="CZ58" i="1" s="1"/>
  <c r="DA52" i="1"/>
  <c r="CZ51" i="1"/>
  <c r="CZ49" i="1"/>
  <c r="CZ47" i="1"/>
  <c r="CZ44" i="1"/>
  <c r="CZ43" i="1"/>
  <c r="CZ42" i="1"/>
  <c r="CZ41" i="1"/>
  <c r="CZ45" i="1" s="1"/>
  <c r="CZ40" i="1"/>
  <c r="CZ36" i="1"/>
  <c r="CZ35" i="1"/>
  <c r="CZ34" i="1"/>
  <c r="CZ33" i="1"/>
  <c r="CZ32" i="1"/>
  <c r="CZ37" i="1" s="1"/>
  <c r="DA37" i="1" s="1"/>
  <c r="CZ30" i="1"/>
  <c r="CZ31" i="1" s="1"/>
  <c r="CZ29" i="1"/>
  <c r="CZ28" i="1"/>
  <c r="CZ27" i="1"/>
  <c r="CZ26" i="1"/>
  <c r="CZ25" i="1"/>
  <c r="CZ24" i="1"/>
  <c r="CZ23" i="1"/>
  <c r="CZ22" i="1"/>
  <c r="CT62" i="1"/>
  <c r="CT61" i="1"/>
  <c r="CT53" i="1"/>
  <c r="CT58" i="1" s="1"/>
  <c r="CU52" i="1"/>
  <c r="CT51" i="1"/>
  <c r="CT49" i="1"/>
  <c r="CT47" i="1"/>
  <c r="CT44" i="1"/>
  <c r="CT45" i="1" s="1"/>
  <c r="CT43" i="1"/>
  <c r="CT42" i="1"/>
  <c r="CT41" i="1"/>
  <c r="CT40" i="1"/>
  <c r="CT37" i="1"/>
  <c r="CU37" i="1" s="1"/>
  <c r="CT36" i="1"/>
  <c r="CT35" i="1"/>
  <c r="CT34" i="1"/>
  <c r="CT33" i="1"/>
  <c r="CT32" i="1"/>
  <c r="CT30" i="1"/>
  <c r="CT31" i="1" s="1"/>
  <c r="CT29" i="1"/>
  <c r="CT28" i="1"/>
  <c r="CT27" i="1"/>
  <c r="CT26" i="1"/>
  <c r="CT25" i="1"/>
  <c r="CT24" i="1"/>
  <c r="CT23" i="1"/>
  <c r="CT22" i="1"/>
  <c r="CN58" i="1"/>
  <c r="CO55" i="1"/>
  <c r="CN53" i="1"/>
  <c r="CN62" i="1" s="1"/>
  <c r="CO52" i="1"/>
  <c r="CN51" i="1"/>
  <c r="CN49" i="1"/>
  <c r="CN47" i="1"/>
  <c r="CN44" i="1"/>
  <c r="CN43" i="1"/>
  <c r="CN42" i="1"/>
  <c r="CN41" i="1"/>
  <c r="CN45" i="1" s="1"/>
  <c r="CN40" i="1"/>
  <c r="CN36" i="1"/>
  <c r="CN35" i="1"/>
  <c r="CN34" i="1"/>
  <c r="CN33" i="1"/>
  <c r="CN32" i="1"/>
  <c r="CN37" i="1" s="1"/>
  <c r="CO37" i="1" s="1"/>
  <c r="CN30" i="1"/>
  <c r="CN31" i="1" s="1"/>
  <c r="CN29" i="1"/>
  <c r="CN28" i="1"/>
  <c r="CN27" i="1"/>
  <c r="CN26" i="1"/>
  <c r="CN25" i="1"/>
  <c r="CN24" i="1"/>
  <c r="CN23" i="1"/>
  <c r="CN22" i="1"/>
  <c r="CA62" i="1"/>
  <c r="CB56" i="1"/>
  <c r="CB55" i="1"/>
  <c r="CA53" i="1"/>
  <c r="CA59" i="1" s="1"/>
  <c r="CB52" i="1"/>
  <c r="CA51" i="1"/>
  <c r="CA49" i="1"/>
  <c r="CA47" i="1"/>
  <c r="CA44" i="1"/>
  <c r="CA43" i="1"/>
  <c r="CA42" i="1"/>
  <c r="CA41" i="1"/>
  <c r="CA45" i="1" s="1"/>
  <c r="CA40" i="1"/>
  <c r="CA36" i="1"/>
  <c r="CA35" i="1"/>
  <c r="CA34" i="1"/>
  <c r="CA33" i="1"/>
  <c r="CA32" i="1"/>
  <c r="CA37" i="1" s="1"/>
  <c r="CB37" i="1" s="1"/>
  <c r="CA30" i="1"/>
  <c r="CA31" i="1" s="1"/>
  <c r="CA29" i="1"/>
  <c r="CA28" i="1"/>
  <c r="CA27" i="1"/>
  <c r="CA26" i="1"/>
  <c r="CA25" i="1"/>
  <c r="CA24" i="1"/>
  <c r="CA23" i="1"/>
  <c r="CA22" i="1"/>
  <c r="BU62" i="1"/>
  <c r="BU61" i="1"/>
  <c r="BV55" i="1"/>
  <c r="BU53" i="1"/>
  <c r="BU58" i="1" s="1"/>
  <c r="BV52" i="1"/>
  <c r="BU51" i="1"/>
  <c r="BU49" i="1"/>
  <c r="BU47" i="1"/>
  <c r="BU45" i="1"/>
  <c r="BV45" i="1" s="1"/>
  <c r="BU44" i="1"/>
  <c r="BU43" i="1"/>
  <c r="BU42" i="1"/>
  <c r="BU41" i="1"/>
  <c r="BU40" i="1"/>
  <c r="BU36" i="1"/>
  <c r="BU35" i="1"/>
  <c r="BU34" i="1"/>
  <c r="BU33" i="1"/>
  <c r="BU32" i="1"/>
  <c r="BU37" i="1" s="1"/>
  <c r="BV37" i="1" s="1"/>
  <c r="BU31" i="1"/>
  <c r="BU30" i="1"/>
  <c r="BU29" i="1"/>
  <c r="BU28" i="1"/>
  <c r="BU27" i="1"/>
  <c r="BU26" i="1"/>
  <c r="BU25" i="1"/>
  <c r="BU24" i="1"/>
  <c r="BU23" i="1"/>
  <c r="BU22" i="1"/>
  <c r="BO61" i="1"/>
  <c r="BO60" i="1"/>
  <c r="BO53" i="1"/>
  <c r="BP56" i="1" s="1"/>
  <c r="BP52" i="1"/>
  <c r="BO51" i="1"/>
  <c r="BO49" i="1"/>
  <c r="BO47" i="1"/>
  <c r="BO44" i="1"/>
  <c r="BO45" i="1" s="1"/>
  <c r="BO43" i="1"/>
  <c r="BO42" i="1"/>
  <c r="BO41" i="1"/>
  <c r="BO40" i="1"/>
  <c r="BO37" i="1"/>
  <c r="BP37" i="1" s="1"/>
  <c r="BO36" i="1"/>
  <c r="BO35" i="1"/>
  <c r="BO34" i="1"/>
  <c r="BO33" i="1"/>
  <c r="BO32" i="1"/>
  <c r="BO30" i="1"/>
  <c r="BO31" i="1" s="1"/>
  <c r="BO29" i="1"/>
  <c r="BO28" i="1"/>
  <c r="BO27" i="1"/>
  <c r="BO26" i="1"/>
  <c r="BO25" i="1"/>
  <c r="BO24" i="1"/>
  <c r="BO23" i="1"/>
  <c r="BO22" i="1"/>
  <c r="BB53" i="1"/>
  <c r="BC56" i="1" s="1"/>
  <c r="BC52" i="1"/>
  <c r="BB51" i="1"/>
  <c r="BB49" i="1"/>
  <c r="BB47" i="1"/>
  <c r="BB44" i="1"/>
  <c r="BB43" i="1"/>
  <c r="BB42" i="1"/>
  <c r="BB41" i="1"/>
  <c r="BB45" i="1" s="1"/>
  <c r="BB40" i="1"/>
  <c r="BB36" i="1"/>
  <c r="BB35" i="1"/>
  <c r="BB34" i="1"/>
  <c r="BB33" i="1"/>
  <c r="BB37" i="1" s="1"/>
  <c r="BC37" i="1" s="1"/>
  <c r="BB32" i="1"/>
  <c r="BB30" i="1"/>
  <c r="BB31" i="1" s="1"/>
  <c r="BB29" i="1"/>
  <c r="BB28" i="1"/>
  <c r="BB27" i="1"/>
  <c r="BB26" i="1"/>
  <c r="BB25" i="1"/>
  <c r="BB24" i="1"/>
  <c r="BB23" i="1"/>
  <c r="BB22" i="1"/>
  <c r="AV58" i="1"/>
  <c r="AW56" i="1"/>
  <c r="AV53" i="1"/>
  <c r="AV62" i="1" s="1"/>
  <c r="AW52" i="1"/>
  <c r="AV51" i="1"/>
  <c r="AV49" i="1"/>
  <c r="AV47" i="1"/>
  <c r="AV44" i="1"/>
  <c r="AV43" i="1"/>
  <c r="AV42" i="1"/>
  <c r="AV41" i="1"/>
  <c r="AV45" i="1" s="1"/>
  <c r="AV40" i="1"/>
  <c r="AV36" i="1"/>
  <c r="AV35" i="1"/>
  <c r="AV34" i="1"/>
  <c r="AV33" i="1"/>
  <c r="AV32" i="1"/>
  <c r="AV37" i="1" s="1"/>
  <c r="AW37" i="1" s="1"/>
  <c r="AV30" i="1"/>
  <c r="AV31" i="1" s="1"/>
  <c r="AV29" i="1"/>
  <c r="AV28" i="1"/>
  <c r="AV27" i="1"/>
  <c r="AV26" i="1"/>
  <c r="AV25" i="1"/>
  <c r="AV24" i="1"/>
  <c r="AV23" i="1"/>
  <c r="AV22" i="1"/>
  <c r="AP62" i="1"/>
  <c r="AQ55" i="1"/>
  <c r="AP53" i="1"/>
  <c r="AP61" i="1" s="1"/>
  <c r="AQ52" i="1"/>
  <c r="AP51" i="1"/>
  <c r="AP49" i="1"/>
  <c r="AP47" i="1"/>
  <c r="AP44" i="1"/>
  <c r="AP43" i="1"/>
  <c r="AP42" i="1"/>
  <c r="AP41" i="1"/>
  <c r="AP45" i="1" s="1"/>
  <c r="AP40" i="1"/>
  <c r="AP36" i="1"/>
  <c r="AP35" i="1"/>
  <c r="AP34" i="1"/>
  <c r="AP33" i="1"/>
  <c r="AP32" i="1"/>
  <c r="AP37" i="1" s="1"/>
  <c r="AQ37" i="1" s="1"/>
  <c r="AP30" i="1"/>
  <c r="AP31" i="1" s="1"/>
  <c r="AP29" i="1"/>
  <c r="AP28" i="1"/>
  <c r="AP27" i="1"/>
  <c r="AP26" i="1"/>
  <c r="AP25" i="1"/>
  <c r="AP24" i="1"/>
  <c r="AP23" i="1"/>
  <c r="AP22" i="1"/>
  <c r="AC58" i="1"/>
  <c r="AD55" i="1"/>
  <c r="AC53" i="1"/>
  <c r="AD56" i="1" s="1"/>
  <c r="AD52" i="1"/>
  <c r="AC51" i="1"/>
  <c r="AC49" i="1"/>
  <c r="AC47" i="1"/>
  <c r="AC44" i="1"/>
  <c r="AC43" i="1"/>
  <c r="AC42" i="1"/>
  <c r="AC41" i="1"/>
  <c r="AC40" i="1"/>
  <c r="AC36" i="1"/>
  <c r="AC35" i="1"/>
  <c r="AC34" i="1"/>
  <c r="AC33" i="1"/>
  <c r="AC32" i="1"/>
  <c r="AC30" i="1"/>
  <c r="AC31" i="1" s="1"/>
  <c r="AC29" i="1"/>
  <c r="AC28" i="1"/>
  <c r="AC27" i="1"/>
  <c r="AC26" i="1"/>
  <c r="AC25" i="1"/>
  <c r="AC24" i="1"/>
  <c r="AC23" i="1"/>
  <c r="AC22" i="1"/>
  <c r="W53" i="1"/>
  <c r="W58" i="1" s="1"/>
  <c r="X52" i="1"/>
  <c r="W51" i="1"/>
  <c r="W49" i="1"/>
  <c r="W47" i="1"/>
  <c r="W44" i="1"/>
  <c r="W43" i="1"/>
  <c r="W42" i="1"/>
  <c r="W41" i="1"/>
  <c r="W40" i="1"/>
  <c r="W36" i="1"/>
  <c r="W37" i="1" s="1"/>
  <c r="X37" i="1" s="1"/>
  <c r="W35" i="1"/>
  <c r="W34" i="1"/>
  <c r="W33" i="1"/>
  <c r="W32" i="1"/>
  <c r="W30" i="1"/>
  <c r="W31" i="1" s="1"/>
  <c r="W29" i="1"/>
  <c r="W28" i="1"/>
  <c r="W27" i="1"/>
  <c r="W26" i="1"/>
  <c r="W25" i="1"/>
  <c r="W24" i="1"/>
  <c r="W23" i="1"/>
  <c r="W22" i="1"/>
  <c r="Q58" i="1"/>
  <c r="Q53" i="1"/>
  <c r="R56" i="1" s="1"/>
  <c r="R52" i="1"/>
  <c r="Q51" i="1"/>
  <c r="Q49" i="1"/>
  <c r="Q47" i="1"/>
  <c r="Q44" i="1"/>
  <c r="Q43" i="1"/>
  <c r="Q42" i="1"/>
  <c r="Q41" i="1"/>
  <c r="Q40" i="1"/>
  <c r="Q36" i="1"/>
  <c r="Q35" i="1"/>
  <c r="Q34" i="1"/>
  <c r="Q33" i="1"/>
  <c r="Q32" i="1"/>
  <c r="Q37" i="1" s="1"/>
  <c r="R37" i="1" s="1"/>
  <c r="Q30" i="1"/>
  <c r="Q29" i="1"/>
  <c r="Q28" i="1"/>
  <c r="Q27" i="1"/>
  <c r="Q26" i="1"/>
  <c r="Q25" i="1"/>
  <c r="Q24" i="1"/>
  <c r="Q23" i="1"/>
  <c r="Q22" i="1"/>
  <c r="AV38" i="1" l="1"/>
  <c r="AW38" i="1" s="1"/>
  <c r="AW31" i="1"/>
  <c r="CZ38" i="1"/>
  <c r="DA38" i="1" s="1"/>
  <c r="DA31" i="1"/>
  <c r="CA54" i="1"/>
  <c r="CB45" i="1"/>
  <c r="DA45" i="1"/>
  <c r="CZ54" i="1"/>
  <c r="CZ57" i="1" s="1"/>
  <c r="BB38" i="1"/>
  <c r="BC38" i="1" s="1"/>
  <c r="BC31" i="1"/>
  <c r="CB31" i="1"/>
  <c r="CA38" i="1"/>
  <c r="CB38" i="1" s="1"/>
  <c r="CT54" i="1"/>
  <c r="CU45" i="1"/>
  <c r="CN54" i="1"/>
  <c r="CO45" i="1"/>
  <c r="CT38" i="1"/>
  <c r="CU38" i="1" s="1"/>
  <c r="CU31" i="1"/>
  <c r="BP45" i="1"/>
  <c r="BO54" i="1"/>
  <c r="CN38" i="1"/>
  <c r="CO38" i="1" s="1"/>
  <c r="CO31" i="1"/>
  <c r="AW45" i="1"/>
  <c r="AV54" i="1"/>
  <c r="BC45" i="1"/>
  <c r="BB54" i="1"/>
  <c r="BO38" i="1"/>
  <c r="BP38" i="1" s="1"/>
  <c r="BP31" i="1"/>
  <c r="AQ45" i="1"/>
  <c r="AP54" i="1"/>
  <c r="AP38" i="1"/>
  <c r="AQ38" i="1" s="1"/>
  <c r="AQ31" i="1"/>
  <c r="BU38" i="1"/>
  <c r="BV38" i="1" s="1"/>
  <c r="AQ56" i="1"/>
  <c r="BO58" i="1"/>
  <c r="BO63" i="1" s="1"/>
  <c r="BP63" i="1" s="1"/>
  <c r="BU59" i="1"/>
  <c r="BU63" i="1" s="1"/>
  <c r="BV63" i="1" s="1"/>
  <c r="CA60" i="1"/>
  <c r="CT59" i="1"/>
  <c r="CT63" i="1" s="1"/>
  <c r="CU63" i="1" s="1"/>
  <c r="CZ59" i="1"/>
  <c r="Q31" i="1"/>
  <c r="Q45" i="1"/>
  <c r="AC45" i="1"/>
  <c r="AD45" i="1" s="1"/>
  <c r="BB58" i="1"/>
  <c r="BO59" i="1"/>
  <c r="BU54" i="1"/>
  <c r="BU60" i="1"/>
  <c r="CA61" i="1"/>
  <c r="CO56" i="1"/>
  <c r="CT60" i="1"/>
  <c r="CZ60" i="1"/>
  <c r="BB59" i="1"/>
  <c r="W45" i="1"/>
  <c r="W54" i="1" s="1"/>
  <c r="AC37" i="1"/>
  <c r="AD37" i="1" s="1"/>
  <c r="AP58" i="1"/>
  <c r="AV59" i="1"/>
  <c r="AV63" i="1" s="1"/>
  <c r="AW63" i="1" s="1"/>
  <c r="BB60" i="1"/>
  <c r="BV31" i="1"/>
  <c r="CZ62" i="1"/>
  <c r="AC62" i="1"/>
  <c r="AP59" i="1"/>
  <c r="AV60" i="1"/>
  <c r="BB61" i="1"/>
  <c r="BP55" i="1"/>
  <c r="BO62" i="1"/>
  <c r="BV56" i="1"/>
  <c r="CN59" i="1"/>
  <c r="CN63" i="1" s="1"/>
  <c r="CO63" i="1" s="1"/>
  <c r="CU55" i="1"/>
  <c r="AP60" i="1"/>
  <c r="AV61" i="1"/>
  <c r="BC55" i="1"/>
  <c r="BB62" i="1"/>
  <c r="CN60" i="1"/>
  <c r="CU56" i="1"/>
  <c r="DA55" i="1"/>
  <c r="AW55" i="1"/>
  <c r="CA58" i="1"/>
  <c r="CA63" i="1" s="1"/>
  <c r="CB63" i="1" s="1"/>
  <c r="CN61" i="1"/>
  <c r="DA56" i="1"/>
  <c r="DA57" i="1"/>
  <c r="DA54" i="1"/>
  <c r="AC38" i="1"/>
  <c r="AD38" i="1" s="1"/>
  <c r="AD31" i="1"/>
  <c r="AC59" i="1"/>
  <c r="AC60" i="1"/>
  <c r="AC61" i="1"/>
  <c r="AC63" i="1" s="1"/>
  <c r="AD63" i="1" s="1"/>
  <c r="W38" i="1"/>
  <c r="X38" i="1" s="1"/>
  <c r="X31" i="1"/>
  <c r="W59" i="1"/>
  <c r="W61" i="1"/>
  <c r="W60" i="1"/>
  <c r="X55" i="1"/>
  <c r="W62" i="1"/>
  <c r="X56" i="1"/>
  <c r="Q38" i="1"/>
  <c r="R38" i="1" s="1"/>
  <c r="R31" i="1"/>
  <c r="R45" i="1"/>
  <c r="Q54" i="1"/>
  <c r="Q59" i="1"/>
  <c r="Q60" i="1"/>
  <c r="Q61" i="1"/>
  <c r="R55" i="1"/>
  <c r="Q62" i="1"/>
  <c r="AQ54" i="1" l="1"/>
  <c r="AP57" i="1"/>
  <c r="BB63" i="1"/>
  <c r="BC63" i="1" s="1"/>
  <c r="CT57" i="1"/>
  <c r="CU54" i="1"/>
  <c r="BO57" i="1"/>
  <c r="BP54" i="1"/>
  <c r="BB57" i="1"/>
  <c r="BC54" i="1"/>
  <c r="CA57" i="1"/>
  <c r="CB54" i="1"/>
  <c r="X45" i="1"/>
  <c r="CZ63" i="1"/>
  <c r="W63" i="1"/>
  <c r="X63" i="1" s="1"/>
  <c r="AC54" i="1"/>
  <c r="AD54" i="1" s="1"/>
  <c r="AP63" i="1"/>
  <c r="AQ63" i="1" s="1"/>
  <c r="AW54" i="1"/>
  <c r="AV57" i="1"/>
  <c r="Q63" i="1"/>
  <c r="R63" i="1" s="1"/>
  <c r="BU57" i="1"/>
  <c r="BV54" i="1"/>
  <c r="CO54" i="1"/>
  <c r="CN57" i="1"/>
  <c r="AC57" i="1"/>
  <c r="X54" i="1"/>
  <c r="W57" i="1"/>
  <c r="Q57" i="1"/>
  <c r="R54" i="1"/>
  <c r="DA63" i="1" l="1"/>
  <c r="CZ64" i="1"/>
  <c r="DA64" i="1" s="1"/>
  <c r="BB64" i="1"/>
  <c r="BC64" i="1" s="1"/>
  <c r="BC57" i="1"/>
  <c r="CN64" i="1"/>
  <c r="CO64" i="1" s="1"/>
  <c r="CO57" i="1"/>
  <c r="BU64" i="1"/>
  <c r="BV64" i="1" s="1"/>
  <c r="BV57" i="1"/>
  <c r="CT64" i="1"/>
  <c r="CU64" i="1" s="1"/>
  <c r="CU57" i="1"/>
  <c r="BO64" i="1"/>
  <c r="BP64" i="1" s="1"/>
  <c r="BP57" i="1"/>
  <c r="AV64" i="1"/>
  <c r="AW64" i="1" s="1"/>
  <c r="AW57" i="1"/>
  <c r="CA64" i="1"/>
  <c r="CB64" i="1" s="1"/>
  <c r="CB57" i="1"/>
  <c r="AQ57" i="1"/>
  <c r="AP64" i="1"/>
  <c r="AQ64" i="1" s="1"/>
  <c r="AC64" i="1"/>
  <c r="AD64" i="1" s="1"/>
  <c r="AD57" i="1"/>
  <c r="W64" i="1"/>
  <c r="X64" i="1" s="1"/>
  <c r="X57" i="1"/>
  <c r="Q64" i="1"/>
  <c r="R64" i="1" s="1"/>
  <c r="R57" i="1"/>
  <c r="DC98" i="1" l="1"/>
  <c r="DC97" i="1"/>
  <c r="CW98" i="1"/>
  <c r="CW97" i="1"/>
  <c r="CQ98" i="1"/>
  <c r="CQ97" i="1"/>
  <c r="CD98" i="1"/>
  <c r="CD97" i="1"/>
  <c r="BX98" i="1"/>
  <c r="BX97" i="1"/>
  <c r="BR98" i="1"/>
  <c r="BR97" i="1"/>
  <c r="BE98" i="1"/>
  <c r="BE97" i="1"/>
  <c r="AY98" i="1"/>
  <c r="AY97" i="1"/>
  <c r="AS98" i="1"/>
  <c r="AS97" i="1"/>
  <c r="AF98" i="1"/>
  <c r="AF97" i="1"/>
  <c r="Z98" i="1"/>
  <c r="Z97" i="1"/>
  <c r="T99" i="1"/>
  <c r="T98" i="1"/>
  <c r="T97" i="1"/>
  <c r="CZ155" i="1" l="1"/>
  <c r="CZ151" i="1"/>
  <c r="CZ150" i="1"/>
  <c r="CZ149" i="1"/>
  <c r="CZ148" i="1"/>
  <c r="CZ147" i="1"/>
  <c r="CZ146" i="1"/>
  <c r="CZ136" i="1"/>
  <c r="CZ135" i="1"/>
  <c r="CZ134" i="1"/>
  <c r="CZ126" i="1"/>
  <c r="CZ122" i="1"/>
  <c r="CZ117" i="1"/>
  <c r="DA117" i="1" s="1"/>
  <c r="CZ116" i="1"/>
  <c r="DA115" i="1"/>
  <c r="DA114" i="1"/>
  <c r="DA113" i="1"/>
  <c r="DA112" i="1"/>
  <c r="DA111" i="1"/>
  <c r="DA110" i="1"/>
  <c r="DA109" i="1"/>
  <c r="CZ108" i="1"/>
  <c r="DA108" i="1" s="1"/>
  <c r="DA107" i="1"/>
  <c r="DA106" i="1"/>
  <c r="DA105" i="1"/>
  <c r="DA104" i="1"/>
  <c r="DA103" i="1"/>
  <c r="CZ98" i="1"/>
  <c r="CZ97" i="1"/>
  <c r="CZ102" i="1" s="1"/>
  <c r="DA94" i="1"/>
  <c r="DA93" i="1"/>
  <c r="CZ91" i="1"/>
  <c r="DA91" i="1" s="1"/>
  <c r="CZ90" i="1"/>
  <c r="DA89" i="1"/>
  <c r="DA88" i="1"/>
  <c r="DA87" i="1"/>
  <c r="DA86" i="1"/>
  <c r="CZ83" i="1"/>
  <c r="CZ82" i="1"/>
  <c r="CZ81" i="1"/>
  <c r="DA77" i="1"/>
  <c r="DA75" i="1"/>
  <c r="CZ74" i="1"/>
  <c r="CZ72" i="1"/>
  <c r="CZ70" i="1"/>
  <c r="CZ68" i="1"/>
  <c r="DA67" i="1"/>
  <c r="CZ66" i="1"/>
  <c r="DA65" i="1"/>
  <c r="CT155" i="1"/>
  <c r="CT151" i="1"/>
  <c r="CT150" i="1"/>
  <c r="CT149" i="1"/>
  <c r="CT148" i="1"/>
  <c r="CT147" i="1"/>
  <c r="CT146" i="1"/>
  <c r="CT136" i="1"/>
  <c r="CT135" i="1"/>
  <c r="CT134" i="1"/>
  <c r="CT126" i="1"/>
  <c r="CT122" i="1"/>
  <c r="CT116" i="1"/>
  <c r="CT117" i="1" s="1"/>
  <c r="CU117" i="1" s="1"/>
  <c r="CU115" i="1"/>
  <c r="CU114" i="1"/>
  <c r="CU113" i="1"/>
  <c r="CU112" i="1"/>
  <c r="CU111" i="1"/>
  <c r="CU110" i="1"/>
  <c r="CU109" i="1"/>
  <c r="CU108" i="1"/>
  <c r="CT108" i="1"/>
  <c r="CU107" i="1"/>
  <c r="CU106" i="1"/>
  <c r="CU105" i="1"/>
  <c r="CU104" i="1"/>
  <c r="CU103" i="1"/>
  <c r="CT98" i="1"/>
  <c r="CT97" i="1"/>
  <c r="CT102" i="1" s="1"/>
  <c r="CU94" i="1"/>
  <c r="CU93" i="1"/>
  <c r="CT91" i="1"/>
  <c r="CU91" i="1" s="1"/>
  <c r="CT90" i="1"/>
  <c r="CU89" i="1"/>
  <c r="CU88" i="1"/>
  <c r="CU87" i="1"/>
  <c r="CU86" i="1"/>
  <c r="CT83" i="1"/>
  <c r="CT82" i="1"/>
  <c r="CT81" i="1"/>
  <c r="CU77" i="1"/>
  <c r="CU75" i="1"/>
  <c r="CT74" i="1"/>
  <c r="CT72" i="1"/>
  <c r="CT70" i="1"/>
  <c r="CT68" i="1"/>
  <c r="CU67" i="1"/>
  <c r="CT66" i="1"/>
  <c r="CU65" i="1"/>
  <c r="CN155" i="1"/>
  <c r="CN151" i="1"/>
  <c r="CN150" i="1"/>
  <c r="CN149" i="1"/>
  <c r="CN148" i="1"/>
  <c r="CN147" i="1"/>
  <c r="CN146" i="1"/>
  <c r="CN136" i="1"/>
  <c r="CN135" i="1"/>
  <c r="CN134" i="1"/>
  <c r="CN126" i="1"/>
  <c r="CN122" i="1"/>
  <c r="CN117" i="1"/>
  <c r="CO117" i="1" s="1"/>
  <c r="CN116" i="1"/>
  <c r="CO115" i="1"/>
  <c r="CO114" i="1"/>
  <c r="CO113" i="1"/>
  <c r="CO112" i="1"/>
  <c r="CO111" i="1"/>
  <c r="CO110" i="1"/>
  <c r="CO109" i="1"/>
  <c r="CN108" i="1"/>
  <c r="CO108" i="1" s="1"/>
  <c r="CO107" i="1"/>
  <c r="CO106" i="1"/>
  <c r="CO105" i="1"/>
  <c r="CO104" i="1"/>
  <c r="CO103" i="1"/>
  <c r="CN98" i="1"/>
  <c r="CN97" i="1"/>
  <c r="CN102" i="1" s="1"/>
  <c r="CO94" i="1"/>
  <c r="CO93" i="1"/>
  <c r="CN91" i="1"/>
  <c r="CO91" i="1" s="1"/>
  <c r="CN90" i="1"/>
  <c r="CO89" i="1"/>
  <c r="CO88" i="1"/>
  <c r="CO87" i="1"/>
  <c r="CO86" i="1"/>
  <c r="CN83" i="1"/>
  <c r="CN82" i="1"/>
  <c r="CN81" i="1"/>
  <c r="CO77" i="1"/>
  <c r="CO75" i="1"/>
  <c r="CN74" i="1"/>
  <c r="CN72" i="1"/>
  <c r="CN70" i="1"/>
  <c r="CN68" i="1"/>
  <c r="CO67" i="1"/>
  <c r="CN66" i="1"/>
  <c r="CO65" i="1"/>
  <c r="CA155" i="1"/>
  <c r="CA151" i="1"/>
  <c r="CA150" i="1"/>
  <c r="CA149" i="1"/>
  <c r="CA148" i="1"/>
  <c r="CA147" i="1"/>
  <c r="CA146" i="1"/>
  <c r="CA136" i="1"/>
  <c r="CA135" i="1"/>
  <c r="CA134" i="1"/>
  <c r="CA126" i="1"/>
  <c r="CA122" i="1"/>
  <c r="CA116" i="1"/>
  <c r="CA117" i="1" s="1"/>
  <c r="CB117" i="1" s="1"/>
  <c r="CB115" i="1"/>
  <c r="CB114" i="1"/>
  <c r="CB113" i="1"/>
  <c r="CB112" i="1"/>
  <c r="CB111" i="1"/>
  <c r="CB110" i="1"/>
  <c r="CB109" i="1"/>
  <c r="CA108" i="1"/>
  <c r="CB108" i="1" s="1"/>
  <c r="CB107" i="1"/>
  <c r="CB106" i="1"/>
  <c r="CB105" i="1"/>
  <c r="CB104" i="1"/>
  <c r="CB103" i="1"/>
  <c r="CA98" i="1"/>
  <c r="CA97" i="1"/>
  <c r="CA102" i="1" s="1"/>
  <c r="CB94" i="1"/>
  <c r="CB93" i="1"/>
  <c r="CA90" i="1"/>
  <c r="CA91" i="1" s="1"/>
  <c r="CB91" i="1" s="1"/>
  <c r="CB89" i="1"/>
  <c r="CB88" i="1"/>
  <c r="CB87" i="1"/>
  <c r="CB86" i="1"/>
  <c r="CA83" i="1"/>
  <c r="CA82" i="1"/>
  <c r="CA81" i="1"/>
  <c r="CB77" i="1"/>
  <c r="CB75" i="1"/>
  <c r="CA74" i="1"/>
  <c r="CA72" i="1"/>
  <c r="CA70" i="1"/>
  <c r="CA68" i="1"/>
  <c r="CB67" i="1"/>
  <c r="CA66" i="1"/>
  <c r="CB65" i="1"/>
  <c r="BU155" i="1"/>
  <c r="BU151" i="1"/>
  <c r="BU150" i="1"/>
  <c r="BU149" i="1"/>
  <c r="BU148" i="1"/>
  <c r="BU147" i="1"/>
  <c r="BU146" i="1"/>
  <c r="BU136" i="1"/>
  <c r="BU135" i="1"/>
  <c r="BU134" i="1"/>
  <c r="BU126" i="1"/>
  <c r="BU122" i="1"/>
  <c r="BU116" i="1"/>
  <c r="BU117" i="1" s="1"/>
  <c r="BV117" i="1" s="1"/>
  <c r="BV115" i="1"/>
  <c r="BV114" i="1"/>
  <c r="BV113" i="1"/>
  <c r="BV112" i="1"/>
  <c r="BV111" i="1"/>
  <c r="BV110" i="1"/>
  <c r="BV109" i="1"/>
  <c r="BU108" i="1"/>
  <c r="BV108" i="1" s="1"/>
  <c r="BV107" i="1"/>
  <c r="BV106" i="1"/>
  <c r="BV105" i="1"/>
  <c r="BV104" i="1"/>
  <c r="BV103" i="1"/>
  <c r="BU98" i="1"/>
  <c r="BU97" i="1"/>
  <c r="BU102" i="1" s="1"/>
  <c r="BV94" i="1"/>
  <c r="BV93" i="1"/>
  <c r="BU91" i="1"/>
  <c r="BV91" i="1" s="1"/>
  <c r="BU90" i="1"/>
  <c r="BV89" i="1"/>
  <c r="BV88" i="1"/>
  <c r="BV87" i="1"/>
  <c r="BV86" i="1"/>
  <c r="BU83" i="1"/>
  <c r="BU82" i="1"/>
  <c r="BU81" i="1"/>
  <c r="BV77" i="1"/>
  <c r="BV75" i="1"/>
  <c r="BU74" i="1"/>
  <c r="BU72" i="1"/>
  <c r="BU70" i="1"/>
  <c r="BU68" i="1"/>
  <c r="BV67" i="1"/>
  <c r="BU66" i="1"/>
  <c r="BV65" i="1"/>
  <c r="BO155" i="1"/>
  <c r="BO151" i="1"/>
  <c r="BO150" i="1"/>
  <c r="BO149" i="1"/>
  <c r="BO148" i="1"/>
  <c r="BO147" i="1"/>
  <c r="BO146" i="1"/>
  <c r="BO136" i="1"/>
  <c r="BO135" i="1"/>
  <c r="BO134" i="1"/>
  <c r="BO126" i="1"/>
  <c r="BO122" i="1"/>
  <c r="BO116" i="1"/>
  <c r="BO117" i="1" s="1"/>
  <c r="BP117" i="1" s="1"/>
  <c r="BP115" i="1"/>
  <c r="BP114" i="1"/>
  <c r="BP113" i="1"/>
  <c r="BP112" i="1"/>
  <c r="BP111" i="1"/>
  <c r="BP110" i="1"/>
  <c r="BP109" i="1"/>
  <c r="BO108" i="1"/>
  <c r="BP108" i="1" s="1"/>
  <c r="BP107" i="1"/>
  <c r="BP106" i="1"/>
  <c r="BP105" i="1"/>
  <c r="BP104" i="1"/>
  <c r="BP103" i="1"/>
  <c r="BO98" i="1"/>
  <c r="BO97" i="1"/>
  <c r="BO102" i="1" s="1"/>
  <c r="BP94" i="1"/>
  <c r="BP93" i="1"/>
  <c r="BO90" i="1"/>
  <c r="BO91" i="1" s="1"/>
  <c r="BP91" i="1" s="1"/>
  <c r="BP89" i="1"/>
  <c r="BP88" i="1"/>
  <c r="BP87" i="1"/>
  <c r="BP86" i="1"/>
  <c r="BO83" i="1"/>
  <c r="BO82" i="1"/>
  <c r="BO81" i="1"/>
  <c r="BP77" i="1"/>
  <c r="BP75" i="1"/>
  <c r="BO74" i="1"/>
  <c r="BO72" i="1"/>
  <c r="BO70" i="1"/>
  <c r="BO68" i="1"/>
  <c r="BP67" i="1"/>
  <c r="BO66" i="1"/>
  <c r="BP65" i="1"/>
  <c r="BB155" i="1"/>
  <c r="BB151" i="1"/>
  <c r="BB150" i="1"/>
  <c r="BB149" i="1"/>
  <c r="BB148" i="1"/>
  <c r="BB147" i="1"/>
  <c r="BB146" i="1"/>
  <c r="BB136" i="1"/>
  <c r="BB135" i="1"/>
  <c r="BB134" i="1"/>
  <c r="BB126" i="1"/>
  <c r="BB122" i="1"/>
  <c r="BB117" i="1"/>
  <c r="BC117" i="1" s="1"/>
  <c r="BB116" i="1"/>
  <c r="BC115" i="1"/>
  <c r="BC114" i="1"/>
  <c r="BC113" i="1"/>
  <c r="BC112" i="1"/>
  <c r="BC111" i="1"/>
  <c r="BC110" i="1"/>
  <c r="BC109" i="1"/>
  <c r="BB108" i="1"/>
  <c r="BC108" i="1" s="1"/>
  <c r="BC107" i="1"/>
  <c r="BC106" i="1"/>
  <c r="BC105" i="1"/>
  <c r="BC104" i="1"/>
  <c r="BC103" i="1"/>
  <c r="BB98" i="1"/>
  <c r="BB97" i="1"/>
  <c r="BB102" i="1" s="1"/>
  <c r="BC94" i="1"/>
  <c r="BC93" i="1"/>
  <c r="BB90" i="1"/>
  <c r="BB91" i="1" s="1"/>
  <c r="BC91" i="1" s="1"/>
  <c r="BC89" i="1"/>
  <c r="BC88" i="1"/>
  <c r="BC87" i="1"/>
  <c r="BC86" i="1"/>
  <c r="BB83" i="1"/>
  <c r="BB82" i="1"/>
  <c r="BB81" i="1"/>
  <c r="BC77" i="1"/>
  <c r="BC75" i="1"/>
  <c r="BB74" i="1"/>
  <c r="BB72" i="1"/>
  <c r="BB70" i="1"/>
  <c r="BB68" i="1"/>
  <c r="BC67" i="1"/>
  <c r="BB66" i="1"/>
  <c r="BC65" i="1"/>
  <c r="AV155" i="1"/>
  <c r="AV151" i="1"/>
  <c r="AV150" i="1"/>
  <c r="AV149" i="1"/>
  <c r="AV148" i="1"/>
  <c r="AV147" i="1"/>
  <c r="AV146" i="1"/>
  <c r="AV136" i="1"/>
  <c r="AV135" i="1"/>
  <c r="AV134" i="1"/>
  <c r="AV126" i="1"/>
  <c r="AV122" i="1"/>
  <c r="AV117" i="1"/>
  <c r="AW117" i="1" s="1"/>
  <c r="AV116" i="1"/>
  <c r="AW115" i="1"/>
  <c r="AW114" i="1"/>
  <c r="AW113" i="1"/>
  <c r="AW112" i="1"/>
  <c r="AW111" i="1"/>
  <c r="AW110" i="1"/>
  <c r="AW109" i="1"/>
  <c r="AV108" i="1"/>
  <c r="AW108" i="1" s="1"/>
  <c r="AW107" i="1"/>
  <c r="AW106" i="1"/>
  <c r="AW105" i="1"/>
  <c r="AW104" i="1"/>
  <c r="AW103" i="1"/>
  <c r="AV102" i="1"/>
  <c r="AV98" i="1"/>
  <c r="AV97" i="1"/>
  <c r="AW94" i="1"/>
  <c r="AW93" i="1"/>
  <c r="AV90" i="1"/>
  <c r="AV91" i="1" s="1"/>
  <c r="AW91" i="1" s="1"/>
  <c r="AW89" i="1"/>
  <c r="AW88" i="1"/>
  <c r="AW87" i="1"/>
  <c r="AW86" i="1"/>
  <c r="AV83" i="1"/>
  <c r="AV82" i="1"/>
  <c r="AV81" i="1"/>
  <c r="AW77" i="1"/>
  <c r="AW75" i="1"/>
  <c r="AV74" i="1"/>
  <c r="AV72" i="1"/>
  <c r="AV69" i="1"/>
  <c r="AV70" i="1" s="1"/>
  <c r="AV68" i="1"/>
  <c r="AW67" i="1"/>
  <c r="AV66" i="1"/>
  <c r="AW65" i="1"/>
  <c r="AP155" i="1"/>
  <c r="AP151" i="1"/>
  <c r="AP150" i="1"/>
  <c r="AP149" i="1"/>
  <c r="AP148" i="1"/>
  <c r="AP147" i="1"/>
  <c r="AP146" i="1"/>
  <c r="AP136" i="1"/>
  <c r="AP135" i="1"/>
  <c r="AP134" i="1"/>
  <c r="AP126" i="1"/>
  <c r="AP122" i="1"/>
  <c r="AP117" i="1"/>
  <c r="AQ117" i="1" s="1"/>
  <c r="AP116" i="1"/>
  <c r="AQ115" i="1"/>
  <c r="AQ114" i="1"/>
  <c r="AQ113" i="1"/>
  <c r="AQ112" i="1"/>
  <c r="AQ111" i="1"/>
  <c r="AQ110" i="1"/>
  <c r="AQ109" i="1"/>
  <c r="AP108" i="1"/>
  <c r="AQ108" i="1" s="1"/>
  <c r="AQ107" i="1"/>
  <c r="AQ106" i="1"/>
  <c r="AQ105" i="1"/>
  <c r="AQ104" i="1"/>
  <c r="AQ103" i="1"/>
  <c r="AP98" i="1"/>
  <c r="AP97" i="1"/>
  <c r="AP102" i="1" s="1"/>
  <c r="AQ94" i="1"/>
  <c r="AQ93" i="1"/>
  <c r="AP90" i="1"/>
  <c r="AP91" i="1" s="1"/>
  <c r="AQ91" i="1" s="1"/>
  <c r="AQ89" i="1"/>
  <c r="AQ88" i="1"/>
  <c r="AQ87" i="1"/>
  <c r="AQ86" i="1"/>
  <c r="AP83" i="1"/>
  <c r="AP82" i="1"/>
  <c r="AP81" i="1"/>
  <c r="AQ77" i="1"/>
  <c r="AQ75" i="1"/>
  <c r="AP74" i="1"/>
  <c r="AP72" i="1"/>
  <c r="AP70" i="1"/>
  <c r="AP68" i="1"/>
  <c r="AQ67" i="1"/>
  <c r="AP66" i="1"/>
  <c r="AQ65" i="1"/>
  <c r="AC155" i="1"/>
  <c r="AC151" i="1"/>
  <c r="AC150" i="1"/>
  <c r="AC149" i="1"/>
  <c r="AC148" i="1"/>
  <c r="AC147" i="1"/>
  <c r="AC146" i="1"/>
  <c r="AC136" i="1"/>
  <c r="AC135" i="1"/>
  <c r="AC134" i="1"/>
  <c r="AC126" i="1"/>
  <c r="AC122" i="1"/>
  <c r="AC116" i="1"/>
  <c r="AC117" i="1" s="1"/>
  <c r="AD117" i="1" s="1"/>
  <c r="AD115" i="1"/>
  <c r="AD114" i="1"/>
  <c r="AD113" i="1"/>
  <c r="AD112" i="1"/>
  <c r="AD111" i="1"/>
  <c r="AD110" i="1"/>
  <c r="AD109" i="1"/>
  <c r="AD108" i="1"/>
  <c r="AC108" i="1"/>
  <c r="AD107" i="1"/>
  <c r="AD106" i="1"/>
  <c r="AD105" i="1"/>
  <c r="AD104" i="1"/>
  <c r="AD103" i="1"/>
  <c r="AC98" i="1"/>
  <c r="AC97" i="1"/>
  <c r="AC102" i="1" s="1"/>
  <c r="AD94" i="1"/>
  <c r="AD93" i="1"/>
  <c r="AC90" i="1"/>
  <c r="AC91" i="1" s="1"/>
  <c r="AD91" i="1" s="1"/>
  <c r="AD89" i="1"/>
  <c r="AD88" i="1"/>
  <c r="AD87" i="1"/>
  <c r="AD86" i="1"/>
  <c r="AC83" i="1"/>
  <c r="AC82" i="1"/>
  <c r="AC81" i="1"/>
  <c r="AD77" i="1"/>
  <c r="AD75" i="1"/>
  <c r="AC74" i="1"/>
  <c r="AC72" i="1"/>
  <c r="AC70" i="1"/>
  <c r="AC76" i="1" s="1"/>
  <c r="AC68" i="1"/>
  <c r="AD67" i="1"/>
  <c r="AC66" i="1"/>
  <c r="AD65" i="1"/>
  <c r="W155" i="1"/>
  <c r="W151" i="1"/>
  <c r="W150" i="1"/>
  <c r="W149" i="1"/>
  <c r="W148" i="1"/>
  <c r="W147" i="1"/>
  <c r="W146" i="1"/>
  <c r="W136" i="1"/>
  <c r="W135" i="1"/>
  <c r="W134" i="1"/>
  <c r="W126" i="1"/>
  <c r="W122" i="1"/>
  <c r="W116" i="1"/>
  <c r="W117" i="1" s="1"/>
  <c r="X117" i="1" s="1"/>
  <c r="X115" i="1"/>
  <c r="X114" i="1"/>
  <c r="X113" i="1"/>
  <c r="X112" i="1"/>
  <c r="X111" i="1"/>
  <c r="X110" i="1"/>
  <c r="X109" i="1"/>
  <c r="W108" i="1"/>
  <c r="X108" i="1" s="1"/>
  <c r="X107" i="1"/>
  <c r="X106" i="1"/>
  <c r="X105" i="1"/>
  <c r="X104" i="1"/>
  <c r="X103" i="1"/>
  <c r="W98" i="1"/>
  <c r="W97" i="1"/>
  <c r="W102" i="1" s="1"/>
  <c r="X94" i="1"/>
  <c r="X93" i="1"/>
  <c r="W90" i="1"/>
  <c r="W91" i="1" s="1"/>
  <c r="X91" i="1" s="1"/>
  <c r="X89" i="1"/>
  <c r="X88" i="1"/>
  <c r="X87" i="1"/>
  <c r="X86" i="1"/>
  <c r="W83" i="1"/>
  <c r="W82" i="1"/>
  <c r="W81" i="1"/>
  <c r="X77" i="1"/>
  <c r="X75" i="1"/>
  <c r="W74" i="1"/>
  <c r="W72" i="1"/>
  <c r="W70" i="1"/>
  <c r="W68" i="1"/>
  <c r="X67" i="1"/>
  <c r="W66" i="1"/>
  <c r="X65" i="1"/>
  <c r="T40" i="1"/>
  <c r="R103" i="1"/>
  <c r="Q98" i="1"/>
  <c r="Q97" i="1"/>
  <c r="Q116" i="1"/>
  <c r="BB76" i="1" l="1"/>
  <c r="BU76" i="1"/>
  <c r="AV76" i="1"/>
  <c r="CT76" i="1"/>
  <c r="CT78" i="1" s="1"/>
  <c r="CN76" i="1"/>
  <c r="CA76" i="1"/>
  <c r="CA78" i="1" s="1"/>
  <c r="BO76" i="1"/>
  <c r="BO78" i="1" s="1"/>
  <c r="BO85" i="1" s="1"/>
  <c r="CZ118" i="1"/>
  <c r="DA102" i="1"/>
  <c r="CZ76" i="1"/>
  <c r="CT118" i="1"/>
  <c r="CU102" i="1"/>
  <c r="CU76" i="1"/>
  <c r="CN78" i="1"/>
  <c r="CO76" i="1"/>
  <c r="CN118" i="1"/>
  <c r="CO102" i="1"/>
  <c r="CA118" i="1"/>
  <c r="CB102" i="1"/>
  <c r="BU118" i="1"/>
  <c r="BV102" i="1"/>
  <c r="BU78" i="1"/>
  <c r="BV76" i="1"/>
  <c r="BO118" i="1"/>
  <c r="BP102" i="1"/>
  <c r="BB78" i="1"/>
  <c r="BC76" i="1"/>
  <c r="BB118" i="1"/>
  <c r="BC102" i="1"/>
  <c r="AV78" i="1"/>
  <c r="AW76" i="1"/>
  <c r="AV118" i="1"/>
  <c r="AW102" i="1"/>
  <c r="AP118" i="1"/>
  <c r="AQ102" i="1"/>
  <c r="AP76" i="1"/>
  <c r="AC78" i="1"/>
  <c r="AD76" i="1"/>
  <c r="AC118" i="1"/>
  <c r="AD102" i="1"/>
  <c r="W118" i="1"/>
  <c r="W76" i="1"/>
  <c r="X102" i="1"/>
  <c r="DB63" i="1"/>
  <c r="DB64" i="1" s="1"/>
  <c r="CV63" i="1"/>
  <c r="CV64" i="1" s="1"/>
  <c r="CP63" i="1"/>
  <c r="CC63" i="1"/>
  <c r="BW63" i="1"/>
  <c r="BQ63" i="1"/>
  <c r="BD63" i="1"/>
  <c r="AX63" i="1"/>
  <c r="AR63" i="1"/>
  <c r="AE63" i="1"/>
  <c r="Y63" i="1"/>
  <c r="S63" i="1"/>
  <c r="DB122" i="1"/>
  <c r="DB117" i="1"/>
  <c r="DB108" i="1"/>
  <c r="DB102" i="1"/>
  <c r="DB91" i="1"/>
  <c r="DB76" i="1"/>
  <c r="DB78" i="1" s="1"/>
  <c r="DB53" i="1"/>
  <c r="DB45" i="1"/>
  <c r="DB54" i="1" s="1"/>
  <c r="DB57" i="1" s="1"/>
  <c r="DB37" i="1"/>
  <c r="DB31" i="1"/>
  <c r="CV122" i="1"/>
  <c r="CV117" i="1"/>
  <c r="CV118" i="1" s="1"/>
  <c r="CV108" i="1"/>
  <c r="CV102" i="1"/>
  <c r="CV91" i="1"/>
  <c r="CV76" i="1"/>
  <c r="CV78" i="1" s="1"/>
  <c r="CV53" i="1"/>
  <c r="CV45" i="1"/>
  <c r="CV54" i="1" s="1"/>
  <c r="CV57" i="1" s="1"/>
  <c r="CV37" i="1"/>
  <c r="CV38" i="1" s="1"/>
  <c r="CV31" i="1"/>
  <c r="CP122" i="1"/>
  <c r="CP117" i="1"/>
  <c r="CP108" i="1"/>
  <c r="CP102" i="1"/>
  <c r="CP91" i="1"/>
  <c r="CP76" i="1"/>
  <c r="CP78" i="1" s="1"/>
  <c r="CP84" i="1" s="1"/>
  <c r="CP53" i="1"/>
  <c r="CP45" i="1"/>
  <c r="CP54" i="1" s="1"/>
  <c r="CP57" i="1" s="1"/>
  <c r="CP37" i="1"/>
  <c r="CP31" i="1"/>
  <c r="CC122" i="1"/>
  <c r="CC117" i="1"/>
  <c r="CC108" i="1"/>
  <c r="CC102" i="1"/>
  <c r="CC91" i="1"/>
  <c r="CC78" i="1"/>
  <c r="CC85" i="1" s="1"/>
  <c r="CC76" i="1"/>
  <c r="CC53" i="1"/>
  <c r="CC45" i="1"/>
  <c r="CC54" i="1" s="1"/>
  <c r="CC57" i="1" s="1"/>
  <c r="CC37" i="1"/>
  <c r="CC31" i="1"/>
  <c r="BW122" i="1"/>
  <c r="BW117" i="1"/>
  <c r="BW108" i="1"/>
  <c r="BW102" i="1"/>
  <c r="BW91" i="1"/>
  <c r="BW76" i="1"/>
  <c r="BW78" i="1" s="1"/>
  <c r="BW85" i="1" s="1"/>
  <c r="BW54" i="1"/>
  <c r="BW57" i="1" s="1"/>
  <c r="BW53" i="1"/>
  <c r="BW45" i="1"/>
  <c r="BW37" i="1"/>
  <c r="BW31" i="1"/>
  <c r="BQ122" i="1"/>
  <c r="BQ117" i="1"/>
  <c r="BQ108" i="1"/>
  <c r="BQ102" i="1"/>
  <c r="BQ118" i="1" s="1"/>
  <c r="BQ91" i="1"/>
  <c r="BQ76" i="1"/>
  <c r="BQ78" i="1" s="1"/>
  <c r="BQ53" i="1"/>
  <c r="BQ45" i="1"/>
  <c r="BQ54" i="1" s="1"/>
  <c r="BQ57" i="1" s="1"/>
  <c r="BQ37" i="1"/>
  <c r="BQ31" i="1"/>
  <c r="BQ38" i="1" s="1"/>
  <c r="BD122" i="1"/>
  <c r="BD117" i="1"/>
  <c r="BD108" i="1"/>
  <c r="BD102" i="1"/>
  <c r="BD91" i="1"/>
  <c r="BD76" i="1"/>
  <c r="BD78" i="1" s="1"/>
  <c r="BD85" i="1" s="1"/>
  <c r="BD53" i="1"/>
  <c r="BD45" i="1"/>
  <c r="BD54" i="1" s="1"/>
  <c r="BD57" i="1" s="1"/>
  <c r="BD37" i="1"/>
  <c r="BD31" i="1"/>
  <c r="BD38" i="1" s="1"/>
  <c r="AX122" i="1"/>
  <c r="AX117" i="1"/>
  <c r="AX108" i="1"/>
  <c r="AX102" i="1"/>
  <c r="AX91" i="1"/>
  <c r="AX76" i="1"/>
  <c r="AX78" i="1" s="1"/>
  <c r="AX53" i="1"/>
  <c r="AX45" i="1"/>
  <c r="AX54" i="1" s="1"/>
  <c r="AX57" i="1" s="1"/>
  <c r="AX37" i="1"/>
  <c r="AX31" i="1"/>
  <c r="AR122" i="1"/>
  <c r="AR117" i="1"/>
  <c r="AR108" i="1"/>
  <c r="AR102" i="1"/>
  <c r="AR91" i="1"/>
  <c r="AR76" i="1"/>
  <c r="AR78" i="1" s="1"/>
  <c r="AR53" i="1"/>
  <c r="AR45" i="1"/>
  <c r="AR54" i="1" s="1"/>
  <c r="AR57" i="1" s="1"/>
  <c r="AR37" i="1"/>
  <c r="AR31" i="1"/>
  <c r="AE122" i="1"/>
  <c r="AE117" i="1"/>
  <c r="AE108" i="1"/>
  <c r="AE118" i="1" s="1"/>
  <c r="AE102" i="1"/>
  <c r="AE91" i="1"/>
  <c r="AE76" i="1"/>
  <c r="AE78" i="1" s="1"/>
  <c r="AE53" i="1"/>
  <c r="AE45" i="1"/>
  <c r="AE54" i="1" s="1"/>
  <c r="AE57" i="1" s="1"/>
  <c r="AE37" i="1"/>
  <c r="AE31" i="1"/>
  <c r="AE38" i="1" s="1"/>
  <c r="Y122" i="1"/>
  <c r="Y117" i="1"/>
  <c r="Y108" i="1"/>
  <c r="Y102" i="1"/>
  <c r="Y118" i="1" s="1"/>
  <c r="Y91" i="1"/>
  <c r="Y76" i="1"/>
  <c r="Y78" i="1" s="1"/>
  <c r="Y53" i="1"/>
  <c r="Y45" i="1"/>
  <c r="Y54" i="1" s="1"/>
  <c r="Y57" i="1" s="1"/>
  <c r="Y37" i="1"/>
  <c r="Y31" i="1"/>
  <c r="Y38" i="1" s="1"/>
  <c r="S122" i="1"/>
  <c r="S118" i="1"/>
  <c r="S117" i="1"/>
  <c r="S108" i="1"/>
  <c r="S102" i="1"/>
  <c r="S91" i="1"/>
  <c r="S76" i="1"/>
  <c r="S78" i="1" s="1"/>
  <c r="S53" i="1"/>
  <c r="S45" i="1"/>
  <c r="S54" i="1" s="1"/>
  <c r="S57" i="1" s="1"/>
  <c r="S37" i="1"/>
  <c r="S38" i="1" s="1"/>
  <c r="S31" i="1"/>
  <c r="AR64" i="1" l="1"/>
  <c r="AR38" i="1"/>
  <c r="BD92" i="1"/>
  <c r="CC92" i="1"/>
  <c r="DB118" i="1"/>
  <c r="CB76" i="1"/>
  <c r="CC38" i="1"/>
  <c r="CC96" i="1" s="1"/>
  <c r="BP76" i="1"/>
  <c r="BW92" i="1"/>
  <c r="AR118" i="1"/>
  <c r="AE64" i="1"/>
  <c r="CZ78" i="1"/>
  <c r="DA76" i="1"/>
  <c r="CZ158" i="1"/>
  <c r="DA118" i="1"/>
  <c r="DA158" i="1" s="1"/>
  <c r="CU118" i="1"/>
  <c r="CU158" i="1" s="1"/>
  <c r="CT158" i="1"/>
  <c r="CU78" i="1"/>
  <c r="CT85" i="1"/>
  <c r="CT95" i="1" s="1"/>
  <c r="CU95" i="1" s="1"/>
  <c r="CT84" i="1"/>
  <c r="CU84" i="1" s="1"/>
  <c r="CN158" i="1"/>
  <c r="CO118" i="1"/>
  <c r="CO158" i="1" s="1"/>
  <c r="CO78" i="1"/>
  <c r="CN85" i="1"/>
  <c r="CN84" i="1"/>
  <c r="CO84" i="1" s="1"/>
  <c r="CB118" i="1"/>
  <c r="CB158" i="1" s="1"/>
  <c r="CA158" i="1"/>
  <c r="CB78" i="1"/>
  <c r="CA85" i="1"/>
  <c r="CA84" i="1"/>
  <c r="CB84" i="1" s="1"/>
  <c r="BV78" i="1"/>
  <c r="BU85" i="1"/>
  <c r="BU84" i="1"/>
  <c r="BV84" i="1" s="1"/>
  <c r="BV118" i="1"/>
  <c r="BV158" i="1" s="1"/>
  <c r="BU158" i="1"/>
  <c r="BP78" i="1"/>
  <c r="BO84" i="1"/>
  <c r="BP84" i="1" s="1"/>
  <c r="BO92" i="1"/>
  <c r="BP92" i="1" s="1"/>
  <c r="BP85" i="1"/>
  <c r="BP118" i="1"/>
  <c r="BP158" i="1" s="1"/>
  <c r="BO158" i="1"/>
  <c r="BC118" i="1"/>
  <c r="BC158" i="1" s="1"/>
  <c r="BB158" i="1"/>
  <c r="BC78" i="1"/>
  <c r="BB85" i="1"/>
  <c r="BB84" i="1"/>
  <c r="BC84" i="1" s="1"/>
  <c r="AW78" i="1"/>
  <c r="AV85" i="1"/>
  <c r="AV84" i="1"/>
  <c r="AW84" i="1" s="1"/>
  <c r="AV158" i="1"/>
  <c r="AW118" i="1"/>
  <c r="AW158" i="1" s="1"/>
  <c r="AP78" i="1"/>
  <c r="AQ76" i="1"/>
  <c r="AQ118" i="1"/>
  <c r="AQ158" i="1" s="1"/>
  <c r="AP158" i="1"/>
  <c r="AD78" i="1"/>
  <c r="AC85" i="1"/>
  <c r="AC84" i="1"/>
  <c r="AD84" i="1" s="1"/>
  <c r="AD118" i="1"/>
  <c r="AD158" i="1" s="1"/>
  <c r="AC158" i="1"/>
  <c r="X118" i="1"/>
  <c r="X158" i="1" s="1"/>
  <c r="W158" i="1"/>
  <c r="W78" i="1"/>
  <c r="X76" i="1"/>
  <c r="S85" i="1"/>
  <c r="S84" i="1"/>
  <c r="S64" i="1"/>
  <c r="S95" i="1"/>
  <c r="S92" i="1"/>
  <c r="S96" i="1" s="1"/>
  <c r="S119" i="1" s="1"/>
  <c r="S123" i="1" s="1"/>
  <c r="AX118" i="1"/>
  <c r="AX64" i="1"/>
  <c r="CP118" i="1"/>
  <c r="DB38" i="1"/>
  <c r="BD64" i="1"/>
  <c r="AX38" i="1"/>
  <c r="BQ64" i="1"/>
  <c r="CC118" i="1"/>
  <c r="BW118" i="1"/>
  <c r="BW64" i="1"/>
  <c r="CC64" i="1"/>
  <c r="BD118" i="1"/>
  <c r="Y64" i="1"/>
  <c r="CP64" i="1"/>
  <c r="DB85" i="1"/>
  <c r="DB92" i="1" s="1"/>
  <c r="DB96" i="1" s="1"/>
  <c r="DB119" i="1" s="1"/>
  <c r="DB123" i="1" s="1"/>
  <c r="DB84" i="1"/>
  <c r="CV84" i="1"/>
  <c r="CV85" i="1"/>
  <c r="CV92" i="1" s="1"/>
  <c r="CV96" i="1" s="1"/>
  <c r="CV119" i="1" s="1"/>
  <c r="CV123" i="1" s="1"/>
  <c r="CP38" i="1"/>
  <c r="CP85" i="1"/>
  <c r="CP92" i="1" s="1"/>
  <c r="CC84" i="1"/>
  <c r="CC95" i="1"/>
  <c r="BW95" i="1"/>
  <c r="BW84" i="1"/>
  <c r="BW38" i="1"/>
  <c r="BQ85" i="1"/>
  <c r="BQ92" i="1" s="1"/>
  <c r="BQ96" i="1" s="1"/>
  <c r="BQ119" i="1" s="1"/>
  <c r="BQ123" i="1" s="1"/>
  <c r="BQ84" i="1"/>
  <c r="BD96" i="1"/>
  <c r="BD119" i="1" s="1"/>
  <c r="BD123" i="1" s="1"/>
  <c r="BD84" i="1"/>
  <c r="BD95" i="1"/>
  <c r="AX85" i="1"/>
  <c r="AX92" i="1" s="1"/>
  <c r="AX84" i="1"/>
  <c r="AR84" i="1"/>
  <c r="AR85" i="1"/>
  <c r="AR92" i="1" s="1"/>
  <c r="AR96" i="1" s="1"/>
  <c r="AR119" i="1" s="1"/>
  <c r="AR123" i="1" s="1"/>
  <c r="AE84" i="1"/>
  <c r="AE85" i="1"/>
  <c r="AE92" i="1" s="1"/>
  <c r="AE96" i="1"/>
  <c r="AE119" i="1" s="1"/>
  <c r="AE123" i="1" s="1"/>
  <c r="Y84" i="1"/>
  <c r="Y85" i="1"/>
  <c r="Y92" i="1" s="1"/>
  <c r="Y96" i="1" s="1"/>
  <c r="Y119" i="1" s="1"/>
  <c r="Y123" i="1" s="1"/>
  <c r="DH156" i="1"/>
  <c r="DF156" i="1"/>
  <c r="DH154" i="1"/>
  <c r="DF154" i="1"/>
  <c r="DJ154" i="1" s="1"/>
  <c r="DH153" i="1"/>
  <c r="DF153" i="1"/>
  <c r="DH150" i="1"/>
  <c r="DH145" i="1"/>
  <c r="DF145" i="1"/>
  <c r="DJ145" i="1" s="1"/>
  <c r="DH144" i="1"/>
  <c r="DF144" i="1"/>
  <c r="DJ144" i="1" s="1"/>
  <c r="DH143" i="1"/>
  <c r="DF143" i="1"/>
  <c r="DH142" i="1"/>
  <c r="DF142" i="1"/>
  <c r="DH141" i="1"/>
  <c r="DH149" i="1" s="1"/>
  <c r="DF141" i="1"/>
  <c r="DJ141" i="1" s="1"/>
  <c r="DH140" i="1"/>
  <c r="DF140" i="1"/>
  <c r="DH139" i="1"/>
  <c r="DF139" i="1"/>
  <c r="DJ139" i="1" s="1"/>
  <c r="DH138" i="1"/>
  <c r="DF138" i="1"/>
  <c r="DH131" i="1"/>
  <c r="DF131" i="1"/>
  <c r="DJ131" i="1" s="1"/>
  <c r="DH130" i="1"/>
  <c r="DF130" i="1"/>
  <c r="DJ130" i="1" s="1"/>
  <c r="DH129" i="1"/>
  <c r="DF129" i="1"/>
  <c r="DJ129" i="1" s="1"/>
  <c r="DH128" i="1"/>
  <c r="DF128" i="1"/>
  <c r="DH127" i="1"/>
  <c r="DF127" i="1"/>
  <c r="CI156" i="1"/>
  <c r="CG156" i="1"/>
  <c r="CK156" i="1" s="1"/>
  <c r="CI154" i="1"/>
  <c r="CG154" i="1"/>
  <c r="CK154" i="1" s="1"/>
  <c r="CI153" i="1"/>
  <c r="CG153" i="1"/>
  <c r="CI150" i="1"/>
  <c r="CI145" i="1"/>
  <c r="CG145" i="1"/>
  <c r="CI144" i="1"/>
  <c r="CG144" i="1"/>
  <c r="CI143" i="1"/>
  <c r="CG143" i="1"/>
  <c r="CI142" i="1"/>
  <c r="CG142" i="1"/>
  <c r="CI141" i="1"/>
  <c r="CG141" i="1"/>
  <c r="CK141" i="1" s="1"/>
  <c r="CI140" i="1"/>
  <c r="CG140" i="1"/>
  <c r="CI139" i="1"/>
  <c r="CG139" i="1"/>
  <c r="CI138" i="1"/>
  <c r="CG138" i="1"/>
  <c r="CI131" i="1"/>
  <c r="CG131" i="1"/>
  <c r="CK131" i="1" s="1"/>
  <c r="CI130" i="1"/>
  <c r="CG130" i="1"/>
  <c r="CI129" i="1"/>
  <c r="CG129" i="1"/>
  <c r="CK129" i="1" s="1"/>
  <c r="CI128" i="1"/>
  <c r="CG128" i="1"/>
  <c r="CI127" i="1"/>
  <c r="CG127" i="1"/>
  <c r="CK127" i="1" s="1"/>
  <c r="BJ156" i="1"/>
  <c r="BH156" i="1"/>
  <c r="BL156" i="1" s="1"/>
  <c r="BJ154" i="1"/>
  <c r="BH154" i="1"/>
  <c r="BL154" i="1" s="1"/>
  <c r="BJ153" i="1"/>
  <c r="BH153" i="1"/>
  <c r="BJ145" i="1"/>
  <c r="BH145" i="1"/>
  <c r="BL145" i="1" s="1"/>
  <c r="BJ144" i="1"/>
  <c r="BH144" i="1"/>
  <c r="BJ143" i="1"/>
  <c r="BH143" i="1"/>
  <c r="BL143" i="1" s="1"/>
  <c r="BJ142" i="1"/>
  <c r="BH142" i="1"/>
  <c r="BJ141" i="1"/>
  <c r="BH141" i="1"/>
  <c r="BJ140" i="1"/>
  <c r="BH140" i="1"/>
  <c r="BJ139" i="1"/>
  <c r="BH139" i="1"/>
  <c r="BL139" i="1" s="1"/>
  <c r="BJ138" i="1"/>
  <c r="BH138" i="1"/>
  <c r="BJ131" i="1"/>
  <c r="BH131" i="1"/>
  <c r="BL131" i="1" s="1"/>
  <c r="BJ130" i="1"/>
  <c r="BH130" i="1"/>
  <c r="BL130" i="1" s="1"/>
  <c r="BJ129" i="1"/>
  <c r="BH129" i="1"/>
  <c r="BL129" i="1" s="1"/>
  <c r="BJ128" i="1"/>
  <c r="BH128" i="1"/>
  <c r="BJ127" i="1"/>
  <c r="BH127" i="1"/>
  <c r="BL127" i="1" s="1"/>
  <c r="AI156" i="1"/>
  <c r="AI154" i="1"/>
  <c r="AI153" i="1"/>
  <c r="AI145" i="1"/>
  <c r="AI144" i="1"/>
  <c r="AI143" i="1"/>
  <c r="AI142" i="1"/>
  <c r="AI141" i="1"/>
  <c r="AI140" i="1"/>
  <c r="AI139" i="1"/>
  <c r="AI138" i="1"/>
  <c r="AI131" i="1"/>
  <c r="AI130" i="1"/>
  <c r="AI129" i="1"/>
  <c r="AI128" i="1"/>
  <c r="AI127" i="1"/>
  <c r="AK156" i="1"/>
  <c r="AK154" i="1"/>
  <c r="AK153" i="1"/>
  <c r="AK145" i="1"/>
  <c r="AK144" i="1"/>
  <c r="AK143" i="1"/>
  <c r="AK142" i="1"/>
  <c r="AK141" i="1"/>
  <c r="AK140" i="1"/>
  <c r="AK139" i="1"/>
  <c r="AK138" i="1"/>
  <c r="AK131" i="1"/>
  <c r="AK130" i="1"/>
  <c r="AK129" i="1"/>
  <c r="AK128" i="1"/>
  <c r="AK127" i="1"/>
  <c r="DB155" i="1"/>
  <c r="CV155" i="1"/>
  <c r="CP155" i="1"/>
  <c r="CC155" i="1"/>
  <c r="BW155" i="1"/>
  <c r="BQ155" i="1"/>
  <c r="BD155" i="1"/>
  <c r="AX155" i="1"/>
  <c r="AR155" i="1"/>
  <c r="BJ155" i="1" s="1"/>
  <c r="AE155" i="1"/>
  <c r="Y155" i="1"/>
  <c r="S155" i="1"/>
  <c r="CK139" i="1" l="1"/>
  <c r="Y95" i="1"/>
  <c r="BJ147" i="1"/>
  <c r="CI147" i="1"/>
  <c r="BJ149" i="1"/>
  <c r="DH151" i="1"/>
  <c r="DA78" i="1"/>
  <c r="CZ85" i="1"/>
  <c r="CZ84" i="1"/>
  <c r="DA84" i="1" s="1"/>
  <c r="CT92" i="1"/>
  <c r="CU92" i="1" s="1"/>
  <c r="CU85" i="1"/>
  <c r="DF150" i="1"/>
  <c r="DJ142" i="1"/>
  <c r="CN92" i="1"/>
  <c r="CO85" i="1"/>
  <c r="CN95" i="1"/>
  <c r="CO95" i="1" s="1"/>
  <c r="CA92" i="1"/>
  <c r="CB85" i="1"/>
  <c r="CA95" i="1"/>
  <c r="CB95" i="1" s="1"/>
  <c r="BU95" i="1"/>
  <c r="BV95" i="1" s="1"/>
  <c r="CG150" i="1"/>
  <c r="BU92" i="1"/>
  <c r="BV92" i="1" s="1"/>
  <c r="BV85" i="1"/>
  <c r="CG151" i="1"/>
  <c r="BO95" i="1"/>
  <c r="BP95" i="1" s="1"/>
  <c r="BB92" i="1"/>
  <c r="BC85" i="1"/>
  <c r="BB95" i="1"/>
  <c r="BC95" i="1" s="1"/>
  <c r="BL153" i="1"/>
  <c r="AV92" i="1"/>
  <c r="AW92" i="1" s="1"/>
  <c r="AW85" i="1"/>
  <c r="AV95" i="1"/>
  <c r="AW95" i="1" s="1"/>
  <c r="BH147" i="1"/>
  <c r="AQ78" i="1"/>
  <c r="AP85" i="1"/>
  <c r="AP84" i="1"/>
  <c r="AQ84" i="1" s="1"/>
  <c r="AC92" i="1"/>
  <c r="AD92" i="1" s="1"/>
  <c r="AD85" i="1"/>
  <c r="AC95" i="1"/>
  <c r="AD95" i="1" s="1"/>
  <c r="X78" i="1"/>
  <c r="W85" i="1"/>
  <c r="W95" i="1" s="1"/>
  <c r="X95" i="1" s="1"/>
  <c r="W84" i="1"/>
  <c r="X84" i="1" s="1"/>
  <c r="BL142" i="1"/>
  <c r="BJ150" i="1"/>
  <c r="DJ128" i="1"/>
  <c r="DJ153" i="1"/>
  <c r="CK128" i="1"/>
  <c r="CK153" i="1"/>
  <c r="DJ140" i="1"/>
  <c r="DJ143" i="1"/>
  <c r="AK155" i="1"/>
  <c r="BL128" i="1"/>
  <c r="CG147" i="1"/>
  <c r="CK143" i="1"/>
  <c r="DH147" i="1"/>
  <c r="CC119" i="1"/>
  <c r="CC123" i="1" s="1"/>
  <c r="CK142" i="1"/>
  <c r="AX96" i="1"/>
  <c r="AX119" i="1" s="1"/>
  <c r="AX123" i="1" s="1"/>
  <c r="BH151" i="1"/>
  <c r="CI151" i="1"/>
  <c r="BL138" i="1"/>
  <c r="BL141" i="1"/>
  <c r="BJ151" i="1"/>
  <c r="CK130" i="1"/>
  <c r="CI149" i="1"/>
  <c r="CK145" i="1"/>
  <c r="DJ127" i="1"/>
  <c r="DJ138" i="1"/>
  <c r="DJ156" i="1"/>
  <c r="AR95" i="1"/>
  <c r="BW96" i="1"/>
  <c r="BW119" i="1" s="1"/>
  <c r="BW123" i="1" s="1"/>
  <c r="BW160" i="1" s="1"/>
  <c r="DH155" i="1"/>
  <c r="DB95" i="1"/>
  <c r="DC95" i="1" s="1"/>
  <c r="CV95" i="1"/>
  <c r="CP96" i="1"/>
  <c r="CP119" i="1" s="1"/>
  <c r="CP123" i="1" s="1"/>
  <c r="CP160" i="1" s="1"/>
  <c r="CP95" i="1"/>
  <c r="CI155" i="1"/>
  <c r="BQ95" i="1"/>
  <c r="BR95" i="1" s="1"/>
  <c r="AX95" i="1"/>
  <c r="AE95" i="1"/>
  <c r="DF147" i="1"/>
  <c r="DF149" i="1"/>
  <c r="DF151" i="1"/>
  <c r="CK138" i="1"/>
  <c r="CG149" i="1"/>
  <c r="CK140" i="1"/>
  <c r="CK144" i="1"/>
  <c r="BL140" i="1"/>
  <c r="BL144" i="1"/>
  <c r="BH150" i="1"/>
  <c r="BH149" i="1"/>
  <c r="DH79" i="1"/>
  <c r="DF79" i="1"/>
  <c r="CI79" i="1"/>
  <c r="CG79" i="1"/>
  <c r="BJ79" i="1"/>
  <c r="BH79" i="1"/>
  <c r="DB160" i="1"/>
  <c r="DB159" i="1"/>
  <c r="DB158" i="1"/>
  <c r="DB157" i="1"/>
  <c r="DD156" i="1"/>
  <c r="DD155" i="1"/>
  <c r="DD154" i="1"/>
  <c r="DD153" i="1"/>
  <c r="DB151" i="1"/>
  <c r="DB150" i="1"/>
  <c r="DB149" i="1"/>
  <c r="DB148" i="1"/>
  <c r="DB147" i="1"/>
  <c r="DB146" i="1"/>
  <c r="DD145" i="1"/>
  <c r="DD144" i="1"/>
  <c r="DD143" i="1"/>
  <c r="DD142" i="1"/>
  <c r="DD141" i="1"/>
  <c r="DD140" i="1"/>
  <c r="DD139" i="1"/>
  <c r="DD138" i="1"/>
  <c r="DB136" i="1"/>
  <c r="DB135" i="1"/>
  <c r="DB134" i="1"/>
  <c r="DB133" i="1"/>
  <c r="DD131" i="1"/>
  <c r="DD130" i="1"/>
  <c r="DD129" i="1"/>
  <c r="DD128" i="1"/>
  <c r="DD127" i="1"/>
  <c r="DB126" i="1"/>
  <c r="DC123" i="1"/>
  <c r="DC160" i="1" s="1"/>
  <c r="DD122" i="1"/>
  <c r="DD121" i="1"/>
  <c r="DD120" i="1"/>
  <c r="DC119" i="1"/>
  <c r="DC159" i="1" s="1"/>
  <c r="DC118" i="1"/>
  <c r="DC158" i="1" s="1"/>
  <c r="DC117" i="1"/>
  <c r="DD117" i="1"/>
  <c r="DD116" i="1"/>
  <c r="DC116" i="1"/>
  <c r="DD115" i="1"/>
  <c r="DC115" i="1"/>
  <c r="DD114" i="1"/>
  <c r="DC114" i="1"/>
  <c r="DD113" i="1"/>
  <c r="DC113" i="1"/>
  <c r="DD112" i="1"/>
  <c r="DC112" i="1"/>
  <c r="DD111" i="1"/>
  <c r="DC111" i="1"/>
  <c r="DD110" i="1"/>
  <c r="DC110" i="1"/>
  <c r="DD109" i="1"/>
  <c r="DC109" i="1"/>
  <c r="DC108" i="1"/>
  <c r="DD107" i="1"/>
  <c r="DC107" i="1"/>
  <c r="DD106" i="1"/>
  <c r="DC106" i="1"/>
  <c r="DD105" i="1"/>
  <c r="DC105" i="1"/>
  <c r="DD104" i="1"/>
  <c r="DC104" i="1"/>
  <c r="DD103" i="1"/>
  <c r="DC103" i="1"/>
  <c r="DC102" i="1"/>
  <c r="DD102" i="1"/>
  <c r="DD101" i="1"/>
  <c r="DC101" i="1"/>
  <c r="DD100" i="1"/>
  <c r="DC100" i="1"/>
  <c r="DD99" i="1"/>
  <c r="DC99" i="1"/>
  <c r="DD98" i="1"/>
  <c r="DD97" i="1"/>
  <c r="DC96" i="1"/>
  <c r="DC157" i="1" s="1"/>
  <c r="DD94" i="1"/>
  <c r="DC94" i="1"/>
  <c r="DD93" i="1"/>
  <c r="DC93" i="1"/>
  <c r="DC92" i="1"/>
  <c r="DC91" i="1"/>
  <c r="DD91" i="1"/>
  <c r="DC90" i="1"/>
  <c r="DD90" i="1"/>
  <c r="DD89" i="1"/>
  <c r="DC89" i="1"/>
  <c r="DD88" i="1"/>
  <c r="DC88" i="1"/>
  <c r="DD87" i="1"/>
  <c r="DC87" i="1"/>
  <c r="DD86" i="1"/>
  <c r="DC86" i="1"/>
  <c r="DC85" i="1"/>
  <c r="DC84" i="1"/>
  <c r="DC83" i="1"/>
  <c r="DC82" i="1"/>
  <c r="DC81" i="1"/>
  <c r="DD81" i="1"/>
  <c r="DC80" i="1"/>
  <c r="DD80" i="1"/>
  <c r="DC78" i="1"/>
  <c r="DD77" i="1"/>
  <c r="DC77" i="1"/>
  <c r="DC76" i="1"/>
  <c r="DD75" i="1"/>
  <c r="DC75" i="1"/>
  <c r="DC74" i="1"/>
  <c r="DD74" i="1"/>
  <c r="DD73" i="1"/>
  <c r="DC73" i="1"/>
  <c r="DC72" i="1"/>
  <c r="DD72" i="1"/>
  <c r="DD71" i="1"/>
  <c r="DC71" i="1"/>
  <c r="DC70" i="1"/>
  <c r="DD70" i="1"/>
  <c r="DC69" i="1"/>
  <c r="DD69" i="1"/>
  <c r="DC68" i="1"/>
  <c r="DD67" i="1"/>
  <c r="DC67" i="1"/>
  <c r="DC66" i="1"/>
  <c r="DD66" i="1"/>
  <c r="DD65" i="1"/>
  <c r="DC65" i="1"/>
  <c r="DC64" i="1"/>
  <c r="DC63" i="1"/>
  <c r="DC62" i="1"/>
  <c r="DC61" i="1"/>
  <c r="DC60" i="1"/>
  <c r="DC59" i="1"/>
  <c r="DC58" i="1"/>
  <c r="DC57" i="1"/>
  <c r="DD56" i="1"/>
  <c r="DC56" i="1"/>
  <c r="DD55" i="1"/>
  <c r="DC55" i="1"/>
  <c r="DC54" i="1"/>
  <c r="DD62" i="1"/>
  <c r="DD52" i="1"/>
  <c r="DC52" i="1"/>
  <c r="DC51" i="1"/>
  <c r="DD51" i="1"/>
  <c r="DD50" i="1"/>
  <c r="DC49" i="1"/>
  <c r="DD49" i="1"/>
  <c r="DD48" i="1"/>
  <c r="DC47" i="1"/>
  <c r="DD47" i="1"/>
  <c r="DD46" i="1"/>
  <c r="DC45" i="1"/>
  <c r="DC44" i="1"/>
  <c r="DD44" i="1"/>
  <c r="DC43" i="1"/>
  <c r="DD43" i="1"/>
  <c r="DC42" i="1"/>
  <c r="DD42" i="1"/>
  <c r="DC41" i="1"/>
  <c r="DC40" i="1"/>
  <c r="DD40" i="1"/>
  <c r="DD39" i="1"/>
  <c r="DC38" i="1"/>
  <c r="DC37" i="1"/>
  <c r="DC36" i="1"/>
  <c r="DD36" i="1"/>
  <c r="DC35" i="1"/>
  <c r="DD35" i="1"/>
  <c r="DC34" i="1"/>
  <c r="DD34" i="1"/>
  <c r="DC33" i="1"/>
  <c r="DD33" i="1"/>
  <c r="DC32" i="1"/>
  <c r="DD32" i="1"/>
  <c r="DC31" i="1"/>
  <c r="DC30" i="1"/>
  <c r="DD30" i="1"/>
  <c r="DC29" i="1"/>
  <c r="DD29" i="1"/>
  <c r="DC28" i="1"/>
  <c r="DD28" i="1"/>
  <c r="DC27" i="1"/>
  <c r="DD27" i="1"/>
  <c r="DC26" i="1"/>
  <c r="DD26" i="1"/>
  <c r="DC25" i="1"/>
  <c r="DC24" i="1"/>
  <c r="DD24" i="1"/>
  <c r="DC23" i="1"/>
  <c r="DD23" i="1"/>
  <c r="DC22" i="1"/>
  <c r="DD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CV160" i="1"/>
  <c r="CV159" i="1"/>
  <c r="CV158" i="1"/>
  <c r="CV157" i="1"/>
  <c r="CX156" i="1"/>
  <c r="CX155" i="1"/>
  <c r="CX154" i="1"/>
  <c r="CX153" i="1"/>
  <c r="CV151" i="1"/>
  <c r="CV150" i="1"/>
  <c r="CV149" i="1"/>
  <c r="CV148" i="1"/>
  <c r="CV147" i="1"/>
  <c r="CV146" i="1"/>
  <c r="CX145" i="1"/>
  <c r="CX144" i="1"/>
  <c r="CX143" i="1"/>
  <c r="CX142" i="1"/>
  <c r="CX141" i="1"/>
  <c r="CX140" i="1"/>
  <c r="CX139" i="1"/>
  <c r="CX138" i="1"/>
  <c r="CV136" i="1"/>
  <c r="CV135" i="1"/>
  <c r="CV134" i="1"/>
  <c r="CV133" i="1"/>
  <c r="CX131" i="1"/>
  <c r="CX130" i="1"/>
  <c r="CX129" i="1"/>
  <c r="CX128" i="1"/>
  <c r="CX127" i="1"/>
  <c r="CV126" i="1"/>
  <c r="CW123" i="1"/>
  <c r="CW160" i="1" s="1"/>
  <c r="CX122" i="1"/>
  <c r="CX121" i="1"/>
  <c r="CX120" i="1"/>
  <c r="CW119" i="1"/>
  <c r="CW159" i="1" s="1"/>
  <c r="CW118" i="1"/>
  <c r="CW158" i="1" s="1"/>
  <c r="CW117" i="1"/>
  <c r="CX117" i="1"/>
  <c r="CX116" i="1"/>
  <c r="CW116" i="1"/>
  <c r="CX115" i="1"/>
  <c r="CW115" i="1"/>
  <c r="CX114" i="1"/>
  <c r="CW114" i="1"/>
  <c r="CX113" i="1"/>
  <c r="CW113" i="1"/>
  <c r="CX112" i="1"/>
  <c r="CW112" i="1"/>
  <c r="CX111" i="1"/>
  <c r="CW111" i="1"/>
  <c r="CX110" i="1"/>
  <c r="CW110" i="1"/>
  <c r="CX109" i="1"/>
  <c r="CW109" i="1"/>
  <c r="CW108" i="1"/>
  <c r="CX108" i="1"/>
  <c r="CX107" i="1"/>
  <c r="CW107" i="1"/>
  <c r="CX106" i="1"/>
  <c r="CW106" i="1"/>
  <c r="CX105" i="1"/>
  <c r="CW105" i="1"/>
  <c r="CX104" i="1"/>
  <c r="CW104" i="1"/>
  <c r="CX103" i="1"/>
  <c r="CW103" i="1"/>
  <c r="CW102" i="1"/>
  <c r="CX101" i="1"/>
  <c r="CW101" i="1"/>
  <c r="CX100" i="1"/>
  <c r="CW100" i="1"/>
  <c r="CX99" i="1"/>
  <c r="CW99" i="1"/>
  <c r="CX98" i="1"/>
  <c r="CX97" i="1"/>
  <c r="CW96" i="1"/>
  <c r="CW157" i="1" s="1"/>
  <c r="CW95" i="1"/>
  <c r="CX94" i="1"/>
  <c r="CW94" i="1"/>
  <c r="CX93" i="1"/>
  <c r="CW93" i="1"/>
  <c r="CW92" i="1"/>
  <c r="CW91" i="1"/>
  <c r="CW90" i="1"/>
  <c r="CX89" i="1"/>
  <c r="CW89" i="1"/>
  <c r="CX88" i="1"/>
  <c r="CW88" i="1"/>
  <c r="CX87" i="1"/>
  <c r="CW87" i="1"/>
  <c r="CX86" i="1"/>
  <c r="CW86" i="1"/>
  <c r="CW85" i="1"/>
  <c r="CW84" i="1"/>
  <c r="CW83" i="1"/>
  <c r="CW82" i="1"/>
  <c r="CW81" i="1"/>
  <c r="CX81" i="1"/>
  <c r="CW80" i="1"/>
  <c r="CX80" i="1"/>
  <c r="CW78" i="1"/>
  <c r="CX77" i="1"/>
  <c r="CW77" i="1"/>
  <c r="CW76" i="1"/>
  <c r="CX75" i="1"/>
  <c r="CW75" i="1"/>
  <c r="CW74" i="1"/>
  <c r="CX74" i="1"/>
  <c r="CX73" i="1"/>
  <c r="CW73" i="1"/>
  <c r="CW72" i="1"/>
  <c r="CX72" i="1"/>
  <c r="CX71" i="1"/>
  <c r="CW71" i="1"/>
  <c r="CW70" i="1"/>
  <c r="CW69" i="1"/>
  <c r="CX70" i="1"/>
  <c r="CW68" i="1"/>
  <c r="CX67" i="1"/>
  <c r="CW67" i="1"/>
  <c r="CW66" i="1"/>
  <c r="CX66" i="1"/>
  <c r="CX65" i="1"/>
  <c r="CW65" i="1"/>
  <c r="CW64" i="1"/>
  <c r="CW63" i="1"/>
  <c r="CW62" i="1"/>
  <c r="CW61" i="1"/>
  <c r="CW60" i="1"/>
  <c r="CW59" i="1"/>
  <c r="CX59" i="1"/>
  <c r="CW58" i="1"/>
  <c r="CW57" i="1"/>
  <c r="CX56" i="1"/>
  <c r="CW56" i="1"/>
  <c r="CX55" i="1"/>
  <c r="CW55" i="1"/>
  <c r="CW54" i="1"/>
  <c r="CX53" i="1"/>
  <c r="CX62" i="1"/>
  <c r="CX52" i="1"/>
  <c r="CW52" i="1"/>
  <c r="CW51" i="1"/>
  <c r="CX51" i="1"/>
  <c r="CX50" i="1"/>
  <c r="CW49" i="1"/>
  <c r="CX49" i="1"/>
  <c r="CX48" i="1"/>
  <c r="CW47" i="1"/>
  <c r="CX47" i="1"/>
  <c r="CX46" i="1"/>
  <c r="CW45" i="1"/>
  <c r="CW44" i="1"/>
  <c r="CX44" i="1"/>
  <c r="CW43" i="1"/>
  <c r="CX43" i="1"/>
  <c r="CW42" i="1"/>
  <c r="CX42" i="1"/>
  <c r="CW41" i="1"/>
  <c r="CW40" i="1"/>
  <c r="CX40" i="1"/>
  <c r="CX39" i="1"/>
  <c r="CW38" i="1"/>
  <c r="CW37" i="1"/>
  <c r="CW36" i="1"/>
  <c r="CX36" i="1"/>
  <c r="CW35" i="1"/>
  <c r="CX35" i="1"/>
  <c r="CW34" i="1"/>
  <c r="CX34" i="1"/>
  <c r="CW33" i="1"/>
  <c r="CW32" i="1"/>
  <c r="CX32" i="1"/>
  <c r="CW31" i="1"/>
  <c r="CW30" i="1"/>
  <c r="CW29" i="1"/>
  <c r="CX29" i="1"/>
  <c r="CW28" i="1"/>
  <c r="CX28" i="1"/>
  <c r="CW27" i="1"/>
  <c r="CX27" i="1"/>
  <c r="CW26" i="1"/>
  <c r="CX26" i="1"/>
  <c r="CW25" i="1"/>
  <c r="CX25" i="1"/>
  <c r="CW24" i="1"/>
  <c r="CX24" i="1"/>
  <c r="CW23" i="1"/>
  <c r="CX23" i="1"/>
  <c r="CW22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P158" i="1"/>
  <c r="DH158" i="1" s="1"/>
  <c r="CR156" i="1"/>
  <c r="CR154" i="1"/>
  <c r="CR153" i="1"/>
  <c r="CP151" i="1"/>
  <c r="CP150" i="1"/>
  <c r="CP149" i="1"/>
  <c r="CP148" i="1"/>
  <c r="CP147" i="1"/>
  <c r="CP146" i="1"/>
  <c r="CR145" i="1"/>
  <c r="CR144" i="1"/>
  <c r="CR143" i="1"/>
  <c r="CR142" i="1"/>
  <c r="CR141" i="1"/>
  <c r="CR140" i="1"/>
  <c r="CR139" i="1"/>
  <c r="CR138" i="1"/>
  <c r="CP136" i="1"/>
  <c r="CP135" i="1"/>
  <c r="CP134" i="1"/>
  <c r="CP133" i="1"/>
  <c r="CR131" i="1"/>
  <c r="CR130" i="1"/>
  <c r="CR129" i="1"/>
  <c r="CR128" i="1"/>
  <c r="CR127" i="1"/>
  <c r="CP126" i="1"/>
  <c r="CQ123" i="1"/>
  <c r="CQ160" i="1" s="1"/>
  <c r="CR122" i="1"/>
  <c r="CR121" i="1"/>
  <c r="CR120" i="1"/>
  <c r="CQ119" i="1"/>
  <c r="CQ159" i="1" s="1"/>
  <c r="CQ118" i="1"/>
  <c r="CQ158" i="1" s="1"/>
  <c r="CQ117" i="1"/>
  <c r="CR117" i="1"/>
  <c r="CR116" i="1"/>
  <c r="CQ116" i="1"/>
  <c r="CR115" i="1"/>
  <c r="CQ115" i="1"/>
  <c r="CR114" i="1"/>
  <c r="CQ114" i="1"/>
  <c r="CR113" i="1"/>
  <c r="CQ113" i="1"/>
  <c r="CR112" i="1"/>
  <c r="CQ112" i="1"/>
  <c r="CR111" i="1"/>
  <c r="CQ111" i="1"/>
  <c r="CR110" i="1"/>
  <c r="CQ110" i="1"/>
  <c r="CR109" i="1"/>
  <c r="CQ109" i="1"/>
  <c r="CQ108" i="1"/>
  <c r="CR108" i="1"/>
  <c r="CR107" i="1"/>
  <c r="CQ107" i="1"/>
  <c r="CR106" i="1"/>
  <c r="CQ106" i="1"/>
  <c r="CR105" i="1"/>
  <c r="CQ105" i="1"/>
  <c r="CR104" i="1"/>
  <c r="CQ104" i="1"/>
  <c r="CR103" i="1"/>
  <c r="CQ103" i="1"/>
  <c r="CQ102" i="1"/>
  <c r="CR101" i="1"/>
  <c r="CQ101" i="1"/>
  <c r="CR100" i="1"/>
  <c r="CQ100" i="1"/>
  <c r="CR99" i="1"/>
  <c r="CQ99" i="1"/>
  <c r="CR98" i="1"/>
  <c r="CR97" i="1"/>
  <c r="CQ96" i="1"/>
  <c r="CQ157" i="1" s="1"/>
  <c r="CQ95" i="1"/>
  <c r="CR94" i="1"/>
  <c r="CQ94" i="1"/>
  <c r="CR93" i="1"/>
  <c r="CQ93" i="1"/>
  <c r="CQ92" i="1"/>
  <c r="CQ91" i="1"/>
  <c r="CQ90" i="1"/>
  <c r="CR90" i="1"/>
  <c r="CR89" i="1"/>
  <c r="CQ89" i="1"/>
  <c r="CR88" i="1"/>
  <c r="CQ88" i="1"/>
  <c r="CR87" i="1"/>
  <c r="CQ87" i="1"/>
  <c r="CR86" i="1"/>
  <c r="CQ86" i="1"/>
  <c r="CQ85" i="1"/>
  <c r="CQ84" i="1"/>
  <c r="CQ83" i="1"/>
  <c r="CQ82" i="1"/>
  <c r="CQ81" i="1"/>
  <c r="CR81" i="1"/>
  <c r="CQ80" i="1"/>
  <c r="CR80" i="1"/>
  <c r="CQ78" i="1"/>
  <c r="CR77" i="1"/>
  <c r="CQ77" i="1"/>
  <c r="CQ76" i="1"/>
  <c r="CR75" i="1"/>
  <c r="CQ75" i="1"/>
  <c r="CQ74" i="1"/>
  <c r="CR74" i="1"/>
  <c r="CR73" i="1"/>
  <c r="CQ73" i="1"/>
  <c r="CQ72" i="1"/>
  <c r="CR72" i="1"/>
  <c r="CR71" i="1"/>
  <c r="CQ71" i="1"/>
  <c r="CQ70" i="1"/>
  <c r="CR70" i="1"/>
  <c r="CQ69" i="1"/>
  <c r="CR69" i="1"/>
  <c r="CQ68" i="1"/>
  <c r="CR67" i="1"/>
  <c r="CQ67" i="1"/>
  <c r="CQ66" i="1"/>
  <c r="CR66" i="1"/>
  <c r="CR65" i="1"/>
  <c r="CQ65" i="1"/>
  <c r="CQ64" i="1"/>
  <c r="CQ63" i="1"/>
  <c r="CQ62" i="1"/>
  <c r="CQ61" i="1"/>
  <c r="CQ60" i="1"/>
  <c r="CQ59" i="1"/>
  <c r="CQ58" i="1"/>
  <c r="CQ57" i="1"/>
  <c r="CR56" i="1"/>
  <c r="CQ56" i="1"/>
  <c r="CR55" i="1"/>
  <c r="CQ55" i="1"/>
  <c r="CQ54" i="1"/>
  <c r="CR62" i="1"/>
  <c r="CR52" i="1"/>
  <c r="CQ52" i="1"/>
  <c r="CQ51" i="1"/>
  <c r="CR51" i="1"/>
  <c r="CR50" i="1"/>
  <c r="CQ49" i="1"/>
  <c r="CR49" i="1"/>
  <c r="CR48" i="1"/>
  <c r="CQ47" i="1"/>
  <c r="CR47" i="1"/>
  <c r="CR46" i="1"/>
  <c r="CQ45" i="1"/>
  <c r="CQ44" i="1"/>
  <c r="CR44" i="1"/>
  <c r="CQ43" i="1"/>
  <c r="CR43" i="1"/>
  <c r="CQ42" i="1"/>
  <c r="CR42" i="1"/>
  <c r="CQ41" i="1"/>
  <c r="CQ40" i="1"/>
  <c r="CR40" i="1"/>
  <c r="CR39" i="1"/>
  <c r="CQ38" i="1"/>
  <c r="CQ37" i="1"/>
  <c r="CQ36" i="1"/>
  <c r="CR36" i="1"/>
  <c r="CQ35" i="1"/>
  <c r="CR35" i="1"/>
  <c r="CQ34" i="1"/>
  <c r="CR34" i="1"/>
  <c r="CQ33" i="1"/>
  <c r="CR33" i="1"/>
  <c r="CQ32" i="1"/>
  <c r="CR32" i="1"/>
  <c r="CQ31" i="1"/>
  <c r="CQ30" i="1"/>
  <c r="CQ29" i="1"/>
  <c r="CR29" i="1"/>
  <c r="CQ28" i="1"/>
  <c r="CR28" i="1"/>
  <c r="CQ27" i="1"/>
  <c r="CR27" i="1"/>
  <c r="CQ26" i="1"/>
  <c r="CR26" i="1"/>
  <c r="CQ25" i="1"/>
  <c r="CR25" i="1"/>
  <c r="CQ24" i="1"/>
  <c r="CR24" i="1"/>
  <c r="CQ23" i="1"/>
  <c r="CR23" i="1"/>
  <c r="CQ22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C160" i="1"/>
  <c r="CC159" i="1"/>
  <c r="CC158" i="1"/>
  <c r="CC157" i="1"/>
  <c r="CE156" i="1"/>
  <c r="CE155" i="1"/>
  <c r="CE154" i="1"/>
  <c r="CE153" i="1"/>
  <c r="CC151" i="1"/>
  <c r="CC150" i="1"/>
  <c r="CC149" i="1"/>
  <c r="CC148" i="1"/>
  <c r="CC147" i="1"/>
  <c r="CC146" i="1"/>
  <c r="CE145" i="1"/>
  <c r="CE144" i="1"/>
  <c r="CE143" i="1"/>
  <c r="CE142" i="1"/>
  <c r="CE141" i="1"/>
  <c r="CE140" i="1"/>
  <c r="CE139" i="1"/>
  <c r="CE138" i="1"/>
  <c r="CC136" i="1"/>
  <c r="CC135" i="1"/>
  <c r="CC134" i="1"/>
  <c r="CC133" i="1"/>
  <c r="CE131" i="1"/>
  <c r="CE130" i="1"/>
  <c r="CE129" i="1"/>
  <c r="CE128" i="1"/>
  <c r="CE127" i="1"/>
  <c r="CC126" i="1"/>
  <c r="CE126" i="1" s="1"/>
  <c r="CD123" i="1"/>
  <c r="CD160" i="1" s="1"/>
  <c r="CE122" i="1"/>
  <c r="CE121" i="1"/>
  <c r="CE120" i="1"/>
  <c r="CD119" i="1"/>
  <c r="CD159" i="1" s="1"/>
  <c r="CD118" i="1"/>
  <c r="CD158" i="1" s="1"/>
  <c r="CD117" i="1"/>
  <c r="CE117" i="1"/>
  <c r="CE116" i="1"/>
  <c r="CD116" i="1"/>
  <c r="CE115" i="1"/>
  <c r="CD115" i="1"/>
  <c r="CE114" i="1"/>
  <c r="CD114" i="1"/>
  <c r="CE113" i="1"/>
  <c r="CD113" i="1"/>
  <c r="CE112" i="1"/>
  <c r="CD112" i="1"/>
  <c r="CE111" i="1"/>
  <c r="CD111" i="1"/>
  <c r="CE110" i="1"/>
  <c r="CD110" i="1"/>
  <c r="CE109" i="1"/>
  <c r="CD109" i="1"/>
  <c r="CD108" i="1"/>
  <c r="CE107" i="1"/>
  <c r="CD107" i="1"/>
  <c r="CE106" i="1"/>
  <c r="CD106" i="1"/>
  <c r="CE105" i="1"/>
  <c r="CD105" i="1"/>
  <c r="CE104" i="1"/>
  <c r="CD104" i="1"/>
  <c r="CE103" i="1"/>
  <c r="CD103" i="1"/>
  <c r="CD102" i="1"/>
  <c r="CE102" i="1"/>
  <c r="CE101" i="1"/>
  <c r="CD101" i="1"/>
  <c r="CE100" i="1"/>
  <c r="CD100" i="1"/>
  <c r="CE99" i="1"/>
  <c r="CD99" i="1"/>
  <c r="CE98" i="1"/>
  <c r="CE97" i="1"/>
  <c r="CD96" i="1"/>
  <c r="CD157" i="1" s="1"/>
  <c r="CD95" i="1"/>
  <c r="CE94" i="1"/>
  <c r="CD94" i="1"/>
  <c r="CE93" i="1"/>
  <c r="CD93" i="1"/>
  <c r="CD92" i="1"/>
  <c r="CD91" i="1"/>
  <c r="CD90" i="1"/>
  <c r="CE90" i="1"/>
  <c r="CE89" i="1"/>
  <c r="CD89" i="1"/>
  <c r="CE88" i="1"/>
  <c r="CD88" i="1"/>
  <c r="CE87" i="1"/>
  <c r="CD87" i="1"/>
  <c r="CE86" i="1"/>
  <c r="CD86" i="1"/>
  <c r="CD85" i="1"/>
  <c r="CD84" i="1"/>
  <c r="CD83" i="1"/>
  <c r="CD82" i="1"/>
  <c r="CD81" i="1"/>
  <c r="CE81" i="1"/>
  <c r="CD80" i="1"/>
  <c r="CE80" i="1"/>
  <c r="CD78" i="1"/>
  <c r="CE77" i="1"/>
  <c r="CD77" i="1"/>
  <c r="CD76" i="1"/>
  <c r="CE75" i="1"/>
  <c r="CD75" i="1"/>
  <c r="CD74" i="1"/>
  <c r="CE74" i="1"/>
  <c r="CE73" i="1"/>
  <c r="CD73" i="1"/>
  <c r="CD72" i="1"/>
  <c r="CE72" i="1"/>
  <c r="CE71" i="1"/>
  <c r="CD71" i="1"/>
  <c r="CD70" i="1"/>
  <c r="CD69" i="1"/>
  <c r="CE69" i="1"/>
  <c r="CD68" i="1"/>
  <c r="CE67" i="1"/>
  <c r="CD67" i="1"/>
  <c r="CD66" i="1"/>
  <c r="CE66" i="1"/>
  <c r="CE65" i="1"/>
  <c r="CD65" i="1"/>
  <c r="CD64" i="1"/>
  <c r="CD63" i="1"/>
  <c r="CD62" i="1"/>
  <c r="CD61" i="1"/>
  <c r="CD60" i="1"/>
  <c r="CD59" i="1"/>
  <c r="CD58" i="1"/>
  <c r="CD57" i="1"/>
  <c r="CE56" i="1"/>
  <c r="CD56" i="1"/>
  <c r="CE55" i="1"/>
  <c r="CD55" i="1"/>
  <c r="CD54" i="1"/>
  <c r="CE62" i="1"/>
  <c r="CE52" i="1"/>
  <c r="CD52" i="1"/>
  <c r="CD51" i="1"/>
  <c r="CE51" i="1"/>
  <c r="CE50" i="1"/>
  <c r="CD49" i="1"/>
  <c r="CE49" i="1"/>
  <c r="CE48" i="1"/>
  <c r="CD47" i="1"/>
  <c r="CE47" i="1"/>
  <c r="CE46" i="1"/>
  <c r="CD45" i="1"/>
  <c r="CD44" i="1"/>
  <c r="CE44" i="1"/>
  <c r="CD43" i="1"/>
  <c r="CE43" i="1"/>
  <c r="CD42" i="1"/>
  <c r="CE42" i="1"/>
  <c r="CD41" i="1"/>
  <c r="CD40" i="1"/>
  <c r="CE40" i="1"/>
  <c r="CE39" i="1"/>
  <c r="CD38" i="1"/>
  <c r="CD37" i="1"/>
  <c r="CD36" i="1"/>
  <c r="CE36" i="1"/>
  <c r="CD35" i="1"/>
  <c r="CE35" i="1"/>
  <c r="CD34" i="1"/>
  <c r="CE34" i="1"/>
  <c r="CD33" i="1"/>
  <c r="CE33" i="1"/>
  <c r="CD32" i="1"/>
  <c r="CE32" i="1"/>
  <c r="CD31" i="1"/>
  <c r="CD30" i="1"/>
  <c r="CE30" i="1"/>
  <c r="CD29" i="1"/>
  <c r="CE29" i="1"/>
  <c r="CD28" i="1"/>
  <c r="CE28" i="1"/>
  <c r="CD27" i="1"/>
  <c r="CE27" i="1"/>
  <c r="CD26" i="1"/>
  <c r="CE26" i="1"/>
  <c r="CD25" i="1"/>
  <c r="CD24" i="1"/>
  <c r="CE24" i="1"/>
  <c r="CD23" i="1"/>
  <c r="CE23" i="1"/>
  <c r="CD22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BW158" i="1"/>
  <c r="BY156" i="1"/>
  <c r="BY155" i="1"/>
  <c r="BY154" i="1"/>
  <c r="BY153" i="1"/>
  <c r="BW151" i="1"/>
  <c r="BW150" i="1"/>
  <c r="BW149" i="1"/>
  <c r="BW148" i="1"/>
  <c r="BW147" i="1"/>
  <c r="BW146" i="1"/>
  <c r="BY145" i="1"/>
  <c r="BY144" i="1"/>
  <c r="BY143" i="1"/>
  <c r="BY142" i="1"/>
  <c r="BY141" i="1"/>
  <c r="BY140" i="1"/>
  <c r="BY139" i="1"/>
  <c r="BY138" i="1"/>
  <c r="BW136" i="1"/>
  <c r="BW135" i="1"/>
  <c r="BW134" i="1"/>
  <c r="BY131" i="1"/>
  <c r="BY130" i="1"/>
  <c r="BY129" i="1"/>
  <c r="BY128" i="1"/>
  <c r="BY127" i="1"/>
  <c r="BW126" i="1"/>
  <c r="BY122" i="1"/>
  <c r="BY121" i="1"/>
  <c r="BY120" i="1"/>
  <c r="BX119" i="1"/>
  <c r="BX159" i="1" s="1"/>
  <c r="BX118" i="1"/>
  <c r="BX158" i="1" s="1"/>
  <c r="BX117" i="1"/>
  <c r="BY117" i="1"/>
  <c r="BY116" i="1"/>
  <c r="BX116" i="1"/>
  <c r="BY115" i="1"/>
  <c r="BX115" i="1"/>
  <c r="BY114" i="1"/>
  <c r="BX114" i="1"/>
  <c r="BY113" i="1"/>
  <c r="BX113" i="1"/>
  <c r="BY112" i="1"/>
  <c r="BX112" i="1"/>
  <c r="BY111" i="1"/>
  <c r="BX111" i="1"/>
  <c r="BY110" i="1"/>
  <c r="BX110" i="1"/>
  <c r="BY109" i="1"/>
  <c r="BX109" i="1"/>
  <c r="BX108" i="1"/>
  <c r="BY107" i="1"/>
  <c r="BX107" i="1"/>
  <c r="BY106" i="1"/>
  <c r="BX106" i="1"/>
  <c r="BY105" i="1"/>
  <c r="BX105" i="1"/>
  <c r="BY104" i="1"/>
  <c r="BX104" i="1"/>
  <c r="BY103" i="1"/>
  <c r="BX103" i="1"/>
  <c r="BX102" i="1"/>
  <c r="BY102" i="1"/>
  <c r="BY101" i="1"/>
  <c r="BX101" i="1"/>
  <c r="BY100" i="1"/>
  <c r="BX100" i="1"/>
  <c r="BY99" i="1"/>
  <c r="BX99" i="1"/>
  <c r="BY98" i="1"/>
  <c r="BY97" i="1"/>
  <c r="BX96" i="1"/>
  <c r="BX157" i="1" s="1"/>
  <c r="BX95" i="1"/>
  <c r="BY94" i="1"/>
  <c r="BX94" i="1"/>
  <c r="BY93" i="1"/>
  <c r="BX93" i="1"/>
  <c r="BX92" i="1"/>
  <c r="BX91" i="1"/>
  <c r="BY91" i="1"/>
  <c r="BX90" i="1"/>
  <c r="BY90" i="1"/>
  <c r="BY89" i="1"/>
  <c r="BX89" i="1"/>
  <c r="BY88" i="1"/>
  <c r="BX88" i="1"/>
  <c r="BY87" i="1"/>
  <c r="BX87" i="1"/>
  <c r="BY86" i="1"/>
  <c r="BX86" i="1"/>
  <c r="BX85" i="1"/>
  <c r="BX84" i="1"/>
  <c r="BX83" i="1"/>
  <c r="BX82" i="1"/>
  <c r="BX81" i="1"/>
  <c r="BY81" i="1"/>
  <c r="BX80" i="1"/>
  <c r="BY80" i="1"/>
  <c r="BX78" i="1"/>
  <c r="BY77" i="1"/>
  <c r="BX77" i="1"/>
  <c r="BX76" i="1"/>
  <c r="BY75" i="1"/>
  <c r="BX75" i="1"/>
  <c r="BX74" i="1"/>
  <c r="BY74" i="1"/>
  <c r="BY73" i="1"/>
  <c r="BX73" i="1"/>
  <c r="BX72" i="1"/>
  <c r="BY72" i="1"/>
  <c r="BY71" i="1"/>
  <c r="BX71" i="1"/>
  <c r="BX70" i="1"/>
  <c r="BX69" i="1"/>
  <c r="BY69" i="1"/>
  <c r="BX68" i="1"/>
  <c r="BY67" i="1"/>
  <c r="BX67" i="1"/>
  <c r="BX66" i="1"/>
  <c r="BY66" i="1"/>
  <c r="BY65" i="1"/>
  <c r="BX65" i="1"/>
  <c r="BX64" i="1"/>
  <c r="BX63" i="1"/>
  <c r="BX62" i="1"/>
  <c r="BX61" i="1"/>
  <c r="BX60" i="1"/>
  <c r="BX59" i="1"/>
  <c r="BX58" i="1"/>
  <c r="BX57" i="1"/>
  <c r="BY56" i="1"/>
  <c r="BX56" i="1"/>
  <c r="BY55" i="1"/>
  <c r="BX55" i="1"/>
  <c r="BX54" i="1"/>
  <c r="BY62" i="1"/>
  <c r="BY52" i="1"/>
  <c r="BX52" i="1"/>
  <c r="BX51" i="1"/>
  <c r="BY51" i="1"/>
  <c r="BY50" i="1"/>
  <c r="BX49" i="1"/>
  <c r="BY49" i="1"/>
  <c r="BY48" i="1"/>
  <c r="BX47" i="1"/>
  <c r="BY47" i="1"/>
  <c r="BY46" i="1"/>
  <c r="BX45" i="1"/>
  <c r="BX44" i="1"/>
  <c r="BY44" i="1"/>
  <c r="BX43" i="1"/>
  <c r="BY43" i="1"/>
  <c r="BX42" i="1"/>
  <c r="BY42" i="1"/>
  <c r="BX41" i="1"/>
  <c r="BX40" i="1"/>
  <c r="BY40" i="1"/>
  <c r="BY39" i="1"/>
  <c r="BX38" i="1"/>
  <c r="BX37" i="1"/>
  <c r="BX36" i="1"/>
  <c r="BY36" i="1"/>
  <c r="BX35" i="1"/>
  <c r="BY35" i="1"/>
  <c r="BX34" i="1"/>
  <c r="BY34" i="1"/>
  <c r="BX33" i="1"/>
  <c r="BY33" i="1"/>
  <c r="BX32" i="1"/>
  <c r="BY32" i="1"/>
  <c r="BX31" i="1"/>
  <c r="BX30" i="1"/>
  <c r="BY30" i="1"/>
  <c r="BX29" i="1"/>
  <c r="BY29" i="1"/>
  <c r="BX28" i="1"/>
  <c r="BY28" i="1"/>
  <c r="BX27" i="1"/>
  <c r="BY27" i="1"/>
  <c r="BX26" i="1"/>
  <c r="BY26" i="1"/>
  <c r="BX25" i="1"/>
  <c r="BX24" i="1"/>
  <c r="BY24" i="1"/>
  <c r="BX23" i="1"/>
  <c r="BY23" i="1"/>
  <c r="BX22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Q160" i="1"/>
  <c r="BQ159" i="1"/>
  <c r="BQ158" i="1"/>
  <c r="CI158" i="1" s="1"/>
  <c r="BQ157" i="1"/>
  <c r="BS156" i="1"/>
  <c r="CG155" i="1"/>
  <c r="BS154" i="1"/>
  <c r="BS153" i="1"/>
  <c r="BQ151" i="1"/>
  <c r="BQ150" i="1"/>
  <c r="BQ149" i="1"/>
  <c r="BQ148" i="1"/>
  <c r="BQ147" i="1"/>
  <c r="BQ146" i="1"/>
  <c r="BS145" i="1"/>
  <c r="BS144" i="1"/>
  <c r="BS143" i="1"/>
  <c r="BS142" i="1"/>
  <c r="BS141" i="1"/>
  <c r="BS140" i="1"/>
  <c r="BS139" i="1"/>
  <c r="BS138" i="1"/>
  <c r="BQ136" i="1"/>
  <c r="BQ135" i="1"/>
  <c r="BQ134" i="1"/>
  <c r="BQ133" i="1"/>
  <c r="BS131" i="1"/>
  <c r="BS130" i="1"/>
  <c r="BS129" i="1"/>
  <c r="BS128" i="1"/>
  <c r="BS127" i="1"/>
  <c r="BQ126" i="1"/>
  <c r="BR123" i="1"/>
  <c r="BR160" i="1" s="1"/>
  <c r="BS122" i="1"/>
  <c r="BS121" i="1"/>
  <c r="BS120" i="1"/>
  <c r="BR119" i="1"/>
  <c r="BR159" i="1" s="1"/>
  <c r="BR118" i="1"/>
  <c r="BR158" i="1" s="1"/>
  <c r="BS117" i="1"/>
  <c r="BR117" i="1"/>
  <c r="BS116" i="1"/>
  <c r="BR116" i="1"/>
  <c r="BS115" i="1"/>
  <c r="BR115" i="1"/>
  <c r="BS114" i="1"/>
  <c r="BR114" i="1"/>
  <c r="BS113" i="1"/>
  <c r="BR113" i="1"/>
  <c r="BS112" i="1"/>
  <c r="BR112" i="1"/>
  <c r="BS111" i="1"/>
  <c r="BR111" i="1"/>
  <c r="BS110" i="1"/>
  <c r="BR110" i="1"/>
  <c r="BS109" i="1"/>
  <c r="BR109" i="1"/>
  <c r="BS108" i="1"/>
  <c r="BR108" i="1"/>
  <c r="BS107" i="1"/>
  <c r="BR107" i="1"/>
  <c r="BS106" i="1"/>
  <c r="BR106" i="1"/>
  <c r="BS105" i="1"/>
  <c r="BR105" i="1"/>
  <c r="BS104" i="1"/>
  <c r="BR104" i="1"/>
  <c r="BS103" i="1"/>
  <c r="BR103" i="1"/>
  <c r="BR102" i="1"/>
  <c r="BS101" i="1"/>
  <c r="BR101" i="1"/>
  <c r="BS100" i="1"/>
  <c r="BR100" i="1"/>
  <c r="BS99" i="1"/>
  <c r="BR99" i="1"/>
  <c r="BS98" i="1"/>
  <c r="BS97" i="1"/>
  <c r="BR96" i="1"/>
  <c r="BR157" i="1" s="1"/>
  <c r="BS94" i="1"/>
  <c r="BR94" i="1"/>
  <c r="BS93" i="1"/>
  <c r="BR93" i="1"/>
  <c r="BR92" i="1"/>
  <c r="BR91" i="1"/>
  <c r="BR90" i="1"/>
  <c r="BS89" i="1"/>
  <c r="BR89" i="1"/>
  <c r="BS88" i="1"/>
  <c r="BR88" i="1"/>
  <c r="BS87" i="1"/>
  <c r="BR87" i="1"/>
  <c r="BS86" i="1"/>
  <c r="BR86" i="1"/>
  <c r="BR85" i="1"/>
  <c r="BR84" i="1"/>
  <c r="BR83" i="1"/>
  <c r="BS83" i="1"/>
  <c r="BR82" i="1"/>
  <c r="BR81" i="1"/>
  <c r="BS81" i="1"/>
  <c r="BR80" i="1"/>
  <c r="BS80" i="1"/>
  <c r="BR78" i="1"/>
  <c r="BS77" i="1"/>
  <c r="BR77" i="1"/>
  <c r="BR76" i="1"/>
  <c r="BS75" i="1"/>
  <c r="BR75" i="1"/>
  <c r="BR74" i="1"/>
  <c r="BS74" i="1"/>
  <c r="BS73" i="1"/>
  <c r="BR73" i="1"/>
  <c r="BR72" i="1"/>
  <c r="BS72" i="1"/>
  <c r="BS71" i="1"/>
  <c r="BR71" i="1"/>
  <c r="BR70" i="1"/>
  <c r="BR69" i="1"/>
  <c r="BS70" i="1"/>
  <c r="BR68" i="1"/>
  <c r="BS67" i="1"/>
  <c r="BR67" i="1"/>
  <c r="BR66" i="1"/>
  <c r="BS66" i="1"/>
  <c r="BS65" i="1"/>
  <c r="BR65" i="1"/>
  <c r="BR64" i="1"/>
  <c r="BR63" i="1"/>
  <c r="BR62" i="1"/>
  <c r="BR61" i="1"/>
  <c r="BR60" i="1"/>
  <c r="BR59" i="1"/>
  <c r="BS59" i="1"/>
  <c r="BR58" i="1"/>
  <c r="BR57" i="1"/>
  <c r="BS56" i="1"/>
  <c r="BR56" i="1"/>
  <c r="BS55" i="1"/>
  <c r="BR55" i="1"/>
  <c r="BR54" i="1"/>
  <c r="BS53" i="1"/>
  <c r="BS62" i="1"/>
  <c r="BS52" i="1"/>
  <c r="BR52" i="1"/>
  <c r="BR51" i="1"/>
  <c r="BS51" i="1"/>
  <c r="BS50" i="1"/>
  <c r="BR49" i="1"/>
  <c r="BS49" i="1"/>
  <c r="BS48" i="1"/>
  <c r="BR47" i="1"/>
  <c r="BS47" i="1"/>
  <c r="BS46" i="1"/>
  <c r="BR45" i="1"/>
  <c r="BR44" i="1"/>
  <c r="BS44" i="1"/>
  <c r="BR43" i="1"/>
  <c r="BS43" i="1"/>
  <c r="BR42" i="1"/>
  <c r="BS42" i="1"/>
  <c r="BR41" i="1"/>
  <c r="BR40" i="1"/>
  <c r="BS40" i="1"/>
  <c r="BS39" i="1"/>
  <c r="BR38" i="1"/>
  <c r="BR37" i="1"/>
  <c r="BR36" i="1"/>
  <c r="BS36" i="1"/>
  <c r="BR35" i="1"/>
  <c r="BS35" i="1"/>
  <c r="BR34" i="1"/>
  <c r="BS34" i="1"/>
  <c r="BR33" i="1"/>
  <c r="BR32" i="1"/>
  <c r="BS32" i="1"/>
  <c r="BR31" i="1"/>
  <c r="BR30" i="1"/>
  <c r="BR29" i="1"/>
  <c r="BS29" i="1"/>
  <c r="BR28" i="1"/>
  <c r="BS28" i="1"/>
  <c r="BR27" i="1"/>
  <c r="BS27" i="1"/>
  <c r="BR26" i="1"/>
  <c r="BS26" i="1"/>
  <c r="BR25" i="1"/>
  <c r="BS25" i="1"/>
  <c r="BR24" i="1"/>
  <c r="BS24" i="1"/>
  <c r="BR23" i="1"/>
  <c r="BS23" i="1"/>
  <c r="BR22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D160" i="1"/>
  <c r="BD159" i="1"/>
  <c r="BD158" i="1"/>
  <c r="BD157" i="1"/>
  <c r="BF156" i="1"/>
  <c r="BF155" i="1"/>
  <c r="BF154" i="1"/>
  <c r="BF153" i="1"/>
  <c r="BD151" i="1"/>
  <c r="BD150" i="1"/>
  <c r="BD149" i="1"/>
  <c r="BD148" i="1"/>
  <c r="BD147" i="1"/>
  <c r="BD146" i="1"/>
  <c r="BF145" i="1"/>
  <c r="BF144" i="1"/>
  <c r="BF143" i="1"/>
  <c r="BF142" i="1"/>
  <c r="BF141" i="1"/>
  <c r="BF140" i="1"/>
  <c r="BF139" i="1"/>
  <c r="BF138" i="1"/>
  <c r="BD136" i="1"/>
  <c r="BD135" i="1"/>
  <c r="BD134" i="1"/>
  <c r="BD133" i="1"/>
  <c r="BF131" i="1"/>
  <c r="BF130" i="1"/>
  <c r="BF129" i="1"/>
  <c r="BF128" i="1"/>
  <c r="BF127" i="1"/>
  <c r="BD126" i="1"/>
  <c r="BE123" i="1"/>
  <c r="BE160" i="1" s="1"/>
  <c r="BF122" i="1"/>
  <c r="BF121" i="1"/>
  <c r="BF120" i="1"/>
  <c r="BE119" i="1"/>
  <c r="BE159" i="1" s="1"/>
  <c r="BE118" i="1"/>
  <c r="BE158" i="1" s="1"/>
  <c r="BF117" i="1"/>
  <c r="BE117" i="1"/>
  <c r="BF116" i="1"/>
  <c r="BE116" i="1"/>
  <c r="BF115" i="1"/>
  <c r="BE115" i="1"/>
  <c r="BF114" i="1"/>
  <c r="BE114" i="1"/>
  <c r="BF113" i="1"/>
  <c r="BE113" i="1"/>
  <c r="BF112" i="1"/>
  <c r="BE112" i="1"/>
  <c r="BF111" i="1"/>
  <c r="BE111" i="1"/>
  <c r="BF110" i="1"/>
  <c r="BE110" i="1"/>
  <c r="BF109" i="1"/>
  <c r="BE109" i="1"/>
  <c r="BE108" i="1"/>
  <c r="BF108" i="1"/>
  <c r="BF107" i="1"/>
  <c r="BE107" i="1"/>
  <c r="BF106" i="1"/>
  <c r="BE106" i="1"/>
  <c r="BF105" i="1"/>
  <c r="BE105" i="1"/>
  <c r="BF104" i="1"/>
  <c r="BE104" i="1"/>
  <c r="BF103" i="1"/>
  <c r="BE103" i="1"/>
  <c r="BE102" i="1"/>
  <c r="BF101" i="1"/>
  <c r="BE101" i="1"/>
  <c r="BF100" i="1"/>
  <c r="BE100" i="1"/>
  <c r="BF99" i="1"/>
  <c r="BE99" i="1"/>
  <c r="BF98" i="1"/>
  <c r="BF97" i="1"/>
  <c r="BE96" i="1"/>
  <c r="BE157" i="1" s="1"/>
  <c r="BE95" i="1"/>
  <c r="BF94" i="1"/>
  <c r="BE94" i="1"/>
  <c r="BF93" i="1"/>
  <c r="BE93" i="1"/>
  <c r="BE92" i="1"/>
  <c r="BE91" i="1"/>
  <c r="BE90" i="1"/>
  <c r="BF89" i="1"/>
  <c r="BE89" i="1"/>
  <c r="BF88" i="1"/>
  <c r="BE88" i="1"/>
  <c r="BF87" i="1"/>
  <c r="BE87" i="1"/>
  <c r="BF86" i="1"/>
  <c r="BE86" i="1"/>
  <c r="BE85" i="1"/>
  <c r="BE84" i="1"/>
  <c r="BE83" i="1"/>
  <c r="BF83" i="1"/>
  <c r="BE82" i="1"/>
  <c r="BE81" i="1"/>
  <c r="BF81" i="1"/>
  <c r="BE80" i="1"/>
  <c r="BF80" i="1"/>
  <c r="BE78" i="1"/>
  <c r="BF77" i="1"/>
  <c r="BE77" i="1"/>
  <c r="BE76" i="1"/>
  <c r="BF75" i="1"/>
  <c r="BE75" i="1"/>
  <c r="BE74" i="1"/>
  <c r="BF74" i="1"/>
  <c r="BF73" i="1"/>
  <c r="BE73" i="1"/>
  <c r="BE72" i="1"/>
  <c r="BF72" i="1"/>
  <c r="BF71" i="1"/>
  <c r="BE71" i="1"/>
  <c r="BE70" i="1"/>
  <c r="BE69" i="1"/>
  <c r="BF70" i="1"/>
  <c r="BE68" i="1"/>
  <c r="BF67" i="1"/>
  <c r="BE67" i="1"/>
  <c r="BE66" i="1"/>
  <c r="BF66" i="1"/>
  <c r="BF65" i="1"/>
  <c r="BE65" i="1"/>
  <c r="BE64" i="1"/>
  <c r="BE63" i="1"/>
  <c r="BE62" i="1"/>
  <c r="BE61" i="1"/>
  <c r="BE60" i="1"/>
  <c r="BE59" i="1"/>
  <c r="BF59" i="1"/>
  <c r="BE58" i="1"/>
  <c r="BE57" i="1"/>
  <c r="BF56" i="1"/>
  <c r="BE56" i="1"/>
  <c r="BF55" i="1"/>
  <c r="BE55" i="1"/>
  <c r="BE54" i="1"/>
  <c r="BF62" i="1"/>
  <c r="BF52" i="1"/>
  <c r="BE52" i="1"/>
  <c r="BE51" i="1"/>
  <c r="BF51" i="1"/>
  <c r="BF50" i="1"/>
  <c r="BE49" i="1"/>
  <c r="BF49" i="1"/>
  <c r="BF48" i="1"/>
  <c r="BE47" i="1"/>
  <c r="BF47" i="1"/>
  <c r="BF46" i="1"/>
  <c r="BE45" i="1"/>
  <c r="BE44" i="1"/>
  <c r="BF44" i="1"/>
  <c r="BE43" i="1"/>
  <c r="BF43" i="1"/>
  <c r="BE42" i="1"/>
  <c r="BF42" i="1"/>
  <c r="BE41" i="1"/>
  <c r="BE40" i="1"/>
  <c r="BF40" i="1"/>
  <c r="BF39" i="1"/>
  <c r="BE38" i="1"/>
  <c r="BE37" i="1"/>
  <c r="BE36" i="1"/>
  <c r="BF36" i="1"/>
  <c r="BE35" i="1"/>
  <c r="BF35" i="1"/>
  <c r="BE34" i="1"/>
  <c r="BF34" i="1"/>
  <c r="BE33" i="1"/>
  <c r="BE32" i="1"/>
  <c r="BF32" i="1"/>
  <c r="BE31" i="1"/>
  <c r="BE30" i="1"/>
  <c r="BE29" i="1"/>
  <c r="BF29" i="1"/>
  <c r="BE28" i="1"/>
  <c r="BF28" i="1"/>
  <c r="BE27" i="1"/>
  <c r="BF27" i="1"/>
  <c r="BE26" i="1"/>
  <c r="BF26" i="1"/>
  <c r="BE25" i="1"/>
  <c r="BF25" i="1"/>
  <c r="BE24" i="1"/>
  <c r="BF24" i="1"/>
  <c r="BE23" i="1"/>
  <c r="BF23" i="1"/>
  <c r="BE22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AX160" i="1"/>
  <c r="AX159" i="1"/>
  <c r="AX158" i="1"/>
  <c r="AX157" i="1"/>
  <c r="AZ156" i="1"/>
  <c r="AZ155" i="1"/>
  <c r="AZ154" i="1"/>
  <c r="AZ153" i="1"/>
  <c r="AX151" i="1"/>
  <c r="AX150" i="1"/>
  <c r="AX149" i="1"/>
  <c r="AX148" i="1"/>
  <c r="AX147" i="1"/>
  <c r="AX146" i="1"/>
  <c r="AZ145" i="1"/>
  <c r="AZ144" i="1"/>
  <c r="AZ143" i="1"/>
  <c r="AZ142" i="1"/>
  <c r="AZ141" i="1"/>
  <c r="AZ140" i="1"/>
  <c r="AZ139" i="1"/>
  <c r="AZ138" i="1"/>
  <c r="AX136" i="1"/>
  <c r="AX135" i="1"/>
  <c r="AX134" i="1"/>
  <c r="AX133" i="1"/>
  <c r="AZ131" i="1"/>
  <c r="AZ130" i="1"/>
  <c r="AZ129" i="1"/>
  <c r="AZ128" i="1"/>
  <c r="AZ127" i="1"/>
  <c r="AX126" i="1"/>
  <c r="AY123" i="1"/>
  <c r="AY160" i="1" s="1"/>
  <c r="AZ122" i="1"/>
  <c r="AZ121" i="1"/>
  <c r="AZ120" i="1"/>
  <c r="AY119" i="1"/>
  <c r="AY159" i="1" s="1"/>
  <c r="AY118" i="1"/>
  <c r="AY158" i="1" s="1"/>
  <c r="AY117" i="1"/>
  <c r="AZ117" i="1"/>
  <c r="AZ116" i="1"/>
  <c r="AY116" i="1"/>
  <c r="AZ115" i="1"/>
  <c r="AY115" i="1"/>
  <c r="AZ114" i="1"/>
  <c r="AY114" i="1"/>
  <c r="AZ113" i="1"/>
  <c r="AY113" i="1"/>
  <c r="AZ112" i="1"/>
  <c r="AY112" i="1"/>
  <c r="AZ111" i="1"/>
  <c r="AY111" i="1"/>
  <c r="AZ110" i="1"/>
  <c r="AY110" i="1"/>
  <c r="AZ109" i="1"/>
  <c r="AY109" i="1"/>
  <c r="AY108" i="1"/>
  <c r="AZ107" i="1"/>
  <c r="AY107" i="1"/>
  <c r="AZ106" i="1"/>
  <c r="AY106" i="1"/>
  <c r="AZ105" i="1"/>
  <c r="AY105" i="1"/>
  <c r="AZ104" i="1"/>
  <c r="AY104" i="1"/>
  <c r="AZ103" i="1"/>
  <c r="AY103" i="1"/>
  <c r="AZ102" i="1"/>
  <c r="AY102" i="1"/>
  <c r="AZ101" i="1"/>
  <c r="AY101" i="1"/>
  <c r="AZ100" i="1"/>
  <c r="AY100" i="1"/>
  <c r="AZ99" i="1"/>
  <c r="AY99" i="1"/>
  <c r="AZ98" i="1"/>
  <c r="AZ97" i="1"/>
  <c r="AY96" i="1"/>
  <c r="AY157" i="1" s="1"/>
  <c r="AY95" i="1"/>
  <c r="AZ94" i="1"/>
  <c r="AY94" i="1"/>
  <c r="AZ93" i="1"/>
  <c r="AY93" i="1"/>
  <c r="AY92" i="1"/>
  <c r="AY91" i="1"/>
  <c r="AY90" i="1"/>
  <c r="AZ90" i="1"/>
  <c r="AZ89" i="1"/>
  <c r="AY89" i="1"/>
  <c r="AZ88" i="1"/>
  <c r="AY88" i="1"/>
  <c r="AZ87" i="1"/>
  <c r="AY87" i="1"/>
  <c r="AZ86" i="1"/>
  <c r="AY86" i="1"/>
  <c r="AY85" i="1"/>
  <c r="AY84" i="1"/>
  <c r="AY83" i="1"/>
  <c r="AY82" i="1"/>
  <c r="AY81" i="1"/>
  <c r="AZ81" i="1"/>
  <c r="AY80" i="1"/>
  <c r="AZ80" i="1"/>
  <c r="AY78" i="1"/>
  <c r="AZ77" i="1"/>
  <c r="AY77" i="1"/>
  <c r="AY76" i="1"/>
  <c r="AZ75" i="1"/>
  <c r="AY75" i="1"/>
  <c r="AY74" i="1"/>
  <c r="AZ74" i="1"/>
  <c r="AZ73" i="1"/>
  <c r="AY73" i="1"/>
  <c r="AY72" i="1"/>
  <c r="AZ72" i="1"/>
  <c r="AZ71" i="1"/>
  <c r="AY71" i="1"/>
  <c r="AY70" i="1"/>
  <c r="AZ70" i="1"/>
  <c r="AY69" i="1"/>
  <c r="AZ69" i="1"/>
  <c r="AY68" i="1"/>
  <c r="AZ67" i="1"/>
  <c r="AY67" i="1"/>
  <c r="AY66" i="1"/>
  <c r="AZ66" i="1"/>
  <c r="AZ65" i="1"/>
  <c r="AY65" i="1"/>
  <c r="AY64" i="1"/>
  <c r="AY63" i="1"/>
  <c r="AY62" i="1"/>
  <c r="AY61" i="1"/>
  <c r="AY60" i="1"/>
  <c r="AY59" i="1"/>
  <c r="AY58" i="1"/>
  <c r="AY57" i="1"/>
  <c r="AZ56" i="1"/>
  <c r="AY56" i="1"/>
  <c r="AZ55" i="1"/>
  <c r="AY55" i="1"/>
  <c r="AY54" i="1"/>
  <c r="AZ62" i="1"/>
  <c r="AZ52" i="1"/>
  <c r="AY52" i="1"/>
  <c r="AY51" i="1"/>
  <c r="AZ51" i="1"/>
  <c r="AZ50" i="1"/>
  <c r="AY49" i="1"/>
  <c r="AZ49" i="1"/>
  <c r="AZ48" i="1"/>
  <c r="AY47" i="1"/>
  <c r="AZ47" i="1"/>
  <c r="AZ46" i="1"/>
  <c r="AY45" i="1"/>
  <c r="AY44" i="1"/>
  <c r="AZ44" i="1"/>
  <c r="AY43" i="1"/>
  <c r="AZ43" i="1"/>
  <c r="AY42" i="1"/>
  <c r="AZ42" i="1"/>
  <c r="AY41" i="1"/>
  <c r="AY40" i="1"/>
  <c r="AZ40" i="1"/>
  <c r="AZ39" i="1"/>
  <c r="AY38" i="1"/>
  <c r="AY37" i="1"/>
  <c r="AY36" i="1"/>
  <c r="AZ36" i="1"/>
  <c r="AY35" i="1"/>
  <c r="AZ35" i="1"/>
  <c r="AY34" i="1"/>
  <c r="AZ34" i="1"/>
  <c r="AY33" i="1"/>
  <c r="AZ33" i="1"/>
  <c r="AY32" i="1"/>
  <c r="AZ32" i="1"/>
  <c r="AY31" i="1"/>
  <c r="AY30" i="1"/>
  <c r="AZ30" i="1"/>
  <c r="AY29" i="1"/>
  <c r="AZ29" i="1"/>
  <c r="AY28" i="1"/>
  <c r="AZ28" i="1"/>
  <c r="AY27" i="1"/>
  <c r="AZ27" i="1"/>
  <c r="AY26" i="1"/>
  <c r="AZ26" i="1"/>
  <c r="AY25" i="1"/>
  <c r="AY24" i="1"/>
  <c r="AZ24" i="1"/>
  <c r="AY23" i="1"/>
  <c r="AZ23" i="1"/>
  <c r="AY22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R160" i="1"/>
  <c r="AR159" i="1"/>
  <c r="AR158" i="1"/>
  <c r="BJ158" i="1" s="1"/>
  <c r="AR157" i="1"/>
  <c r="BJ157" i="1" s="1"/>
  <c r="AT156" i="1"/>
  <c r="AT154" i="1"/>
  <c r="AT153" i="1"/>
  <c r="AR151" i="1"/>
  <c r="AR150" i="1"/>
  <c r="AR149" i="1"/>
  <c r="AR148" i="1"/>
  <c r="AR147" i="1"/>
  <c r="AR146" i="1"/>
  <c r="AT145" i="1"/>
  <c r="AT144" i="1"/>
  <c r="AT143" i="1"/>
  <c r="AT142" i="1"/>
  <c r="AT141" i="1"/>
  <c r="AT140" i="1"/>
  <c r="AT139" i="1"/>
  <c r="AT138" i="1"/>
  <c r="AR136" i="1"/>
  <c r="AR135" i="1"/>
  <c r="AR134" i="1"/>
  <c r="AR133" i="1"/>
  <c r="AT131" i="1"/>
  <c r="AT130" i="1"/>
  <c r="AT129" i="1"/>
  <c r="AT128" i="1"/>
  <c r="AT127" i="1"/>
  <c r="AR126" i="1"/>
  <c r="AT126" i="1"/>
  <c r="AS123" i="1"/>
  <c r="AS160" i="1" s="1"/>
  <c r="AT122" i="1"/>
  <c r="AT121" i="1"/>
  <c r="AT120" i="1"/>
  <c r="AS119" i="1"/>
  <c r="AS159" i="1" s="1"/>
  <c r="AS118" i="1"/>
  <c r="AS158" i="1" s="1"/>
  <c r="AS117" i="1"/>
  <c r="AT117" i="1"/>
  <c r="AT116" i="1"/>
  <c r="AS116" i="1"/>
  <c r="AT115" i="1"/>
  <c r="AS115" i="1"/>
  <c r="AT114" i="1"/>
  <c r="AS114" i="1"/>
  <c r="AT113" i="1"/>
  <c r="AS113" i="1"/>
  <c r="AT112" i="1"/>
  <c r="AS112" i="1"/>
  <c r="AT111" i="1"/>
  <c r="AS111" i="1"/>
  <c r="AT110" i="1"/>
  <c r="AS110" i="1"/>
  <c r="AT109" i="1"/>
  <c r="AS109" i="1"/>
  <c r="AS108" i="1"/>
  <c r="AT108" i="1"/>
  <c r="AT107" i="1"/>
  <c r="AS107" i="1"/>
  <c r="AT106" i="1"/>
  <c r="AS106" i="1"/>
  <c r="AT105" i="1"/>
  <c r="AS105" i="1"/>
  <c r="AT104" i="1"/>
  <c r="AS104" i="1"/>
  <c r="AT103" i="1"/>
  <c r="AS103" i="1"/>
  <c r="AT102" i="1"/>
  <c r="AS102" i="1"/>
  <c r="AT101" i="1"/>
  <c r="AS101" i="1"/>
  <c r="AT100" i="1"/>
  <c r="AS100" i="1"/>
  <c r="AT99" i="1"/>
  <c r="AS99" i="1"/>
  <c r="AT98" i="1"/>
  <c r="AT97" i="1"/>
  <c r="AS96" i="1"/>
  <c r="AS157" i="1" s="1"/>
  <c r="AS95" i="1"/>
  <c r="AT94" i="1"/>
  <c r="AS94" i="1"/>
  <c r="AT93" i="1"/>
  <c r="AS93" i="1"/>
  <c r="AS92" i="1"/>
  <c r="AS91" i="1"/>
  <c r="AS90" i="1"/>
  <c r="AT90" i="1"/>
  <c r="AT89" i="1"/>
  <c r="AS89" i="1"/>
  <c r="AT88" i="1"/>
  <c r="AS88" i="1"/>
  <c r="AT87" i="1"/>
  <c r="AS87" i="1"/>
  <c r="AT86" i="1"/>
  <c r="AS86" i="1"/>
  <c r="AS85" i="1"/>
  <c r="AS84" i="1"/>
  <c r="AS83" i="1"/>
  <c r="AS82" i="1"/>
  <c r="AS81" i="1"/>
  <c r="AT81" i="1"/>
  <c r="AS80" i="1"/>
  <c r="AT80" i="1"/>
  <c r="AS78" i="1"/>
  <c r="AT77" i="1"/>
  <c r="AS77" i="1"/>
  <c r="AS76" i="1"/>
  <c r="AT75" i="1"/>
  <c r="AS75" i="1"/>
  <c r="AS74" i="1"/>
  <c r="AT74" i="1"/>
  <c r="AT73" i="1"/>
  <c r="AS73" i="1"/>
  <c r="AS72" i="1"/>
  <c r="AT72" i="1"/>
  <c r="AT71" i="1"/>
  <c r="AS71" i="1"/>
  <c r="AS70" i="1"/>
  <c r="AT70" i="1"/>
  <c r="AS69" i="1"/>
  <c r="AT69" i="1"/>
  <c r="AS68" i="1"/>
  <c r="AT67" i="1"/>
  <c r="AS67" i="1"/>
  <c r="AS66" i="1"/>
  <c r="AT66" i="1"/>
  <c r="AT65" i="1"/>
  <c r="AS65" i="1"/>
  <c r="AS64" i="1"/>
  <c r="AS63" i="1"/>
  <c r="AS62" i="1"/>
  <c r="AS61" i="1"/>
  <c r="AS60" i="1"/>
  <c r="AS59" i="1"/>
  <c r="AS58" i="1"/>
  <c r="AS57" i="1"/>
  <c r="AT56" i="1"/>
  <c r="AS56" i="1"/>
  <c r="AT55" i="1"/>
  <c r="AS55" i="1"/>
  <c r="AS54" i="1"/>
  <c r="AT62" i="1"/>
  <c r="AT52" i="1"/>
  <c r="AS52" i="1"/>
  <c r="AS51" i="1"/>
  <c r="AT51" i="1"/>
  <c r="AT50" i="1"/>
  <c r="AS49" i="1"/>
  <c r="AT49" i="1"/>
  <c r="AT48" i="1"/>
  <c r="AS47" i="1"/>
  <c r="AT47" i="1"/>
  <c r="AT46" i="1"/>
  <c r="AS45" i="1"/>
  <c r="AS44" i="1"/>
  <c r="AT44" i="1"/>
  <c r="AS43" i="1"/>
  <c r="AT43" i="1"/>
  <c r="AS42" i="1"/>
  <c r="AT42" i="1"/>
  <c r="AS41" i="1"/>
  <c r="AS40" i="1"/>
  <c r="AT40" i="1"/>
  <c r="AT39" i="1"/>
  <c r="AS38" i="1"/>
  <c r="AS37" i="1"/>
  <c r="AS36" i="1"/>
  <c r="AT36" i="1"/>
  <c r="AS35" i="1"/>
  <c r="AT35" i="1"/>
  <c r="AS34" i="1"/>
  <c r="AT34" i="1"/>
  <c r="AS33" i="1"/>
  <c r="AT33" i="1"/>
  <c r="AS32" i="1"/>
  <c r="AT32" i="1"/>
  <c r="AS31" i="1"/>
  <c r="AS30" i="1"/>
  <c r="AT30" i="1"/>
  <c r="AS29" i="1"/>
  <c r="AT29" i="1"/>
  <c r="AS28" i="1"/>
  <c r="AT28" i="1"/>
  <c r="AS27" i="1"/>
  <c r="AT27" i="1"/>
  <c r="AS26" i="1"/>
  <c r="AT26" i="1"/>
  <c r="AS25" i="1"/>
  <c r="AS24" i="1"/>
  <c r="AT24" i="1"/>
  <c r="AS23" i="1"/>
  <c r="AT23" i="1"/>
  <c r="AS22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E160" i="1"/>
  <c r="AE159" i="1"/>
  <c r="AE158" i="1"/>
  <c r="AE157" i="1"/>
  <c r="AG156" i="1"/>
  <c r="AG155" i="1"/>
  <c r="AG154" i="1"/>
  <c r="AG153" i="1"/>
  <c r="AE151" i="1"/>
  <c r="AE150" i="1"/>
  <c r="AE149" i="1"/>
  <c r="AE148" i="1"/>
  <c r="AE147" i="1"/>
  <c r="AE146" i="1"/>
  <c r="AG145" i="1"/>
  <c r="AG144" i="1"/>
  <c r="AG143" i="1"/>
  <c r="AG142" i="1"/>
  <c r="AG141" i="1"/>
  <c r="AG140" i="1"/>
  <c r="AG139" i="1"/>
  <c r="AG138" i="1"/>
  <c r="AE136" i="1"/>
  <c r="AE135" i="1"/>
  <c r="AE134" i="1"/>
  <c r="AE133" i="1"/>
  <c r="AG131" i="1"/>
  <c r="AG130" i="1"/>
  <c r="AG129" i="1"/>
  <c r="AG128" i="1"/>
  <c r="AG127" i="1"/>
  <c r="AE126" i="1"/>
  <c r="AF123" i="1"/>
  <c r="AF160" i="1" s="1"/>
  <c r="AG122" i="1"/>
  <c r="AG121" i="1"/>
  <c r="AG120" i="1"/>
  <c r="AF119" i="1"/>
  <c r="AF159" i="1" s="1"/>
  <c r="AF118" i="1"/>
  <c r="AF158" i="1" s="1"/>
  <c r="AF117" i="1"/>
  <c r="AG117" i="1"/>
  <c r="AG116" i="1"/>
  <c r="AF116" i="1"/>
  <c r="AG115" i="1"/>
  <c r="AF115" i="1"/>
  <c r="AG114" i="1"/>
  <c r="AF114" i="1"/>
  <c r="AG113" i="1"/>
  <c r="AF113" i="1"/>
  <c r="AG112" i="1"/>
  <c r="AF112" i="1"/>
  <c r="AG111" i="1"/>
  <c r="AF111" i="1"/>
  <c r="AG110" i="1"/>
  <c r="AF110" i="1"/>
  <c r="AG109" i="1"/>
  <c r="AF109" i="1"/>
  <c r="AF108" i="1"/>
  <c r="AG107" i="1"/>
  <c r="AF107" i="1"/>
  <c r="AG106" i="1"/>
  <c r="AF106" i="1"/>
  <c r="AG105" i="1"/>
  <c r="AF105" i="1"/>
  <c r="AG104" i="1"/>
  <c r="AF104" i="1"/>
  <c r="AG103" i="1"/>
  <c r="AF103" i="1"/>
  <c r="AF102" i="1"/>
  <c r="AG102" i="1"/>
  <c r="AG101" i="1"/>
  <c r="AF101" i="1"/>
  <c r="AG100" i="1"/>
  <c r="AF100" i="1"/>
  <c r="AG99" i="1"/>
  <c r="AF99" i="1"/>
  <c r="AG98" i="1"/>
  <c r="AG97" i="1"/>
  <c r="AF96" i="1"/>
  <c r="AF157" i="1" s="1"/>
  <c r="AF95" i="1"/>
  <c r="AG94" i="1"/>
  <c r="AF94" i="1"/>
  <c r="AG93" i="1"/>
  <c r="AF93" i="1"/>
  <c r="AF92" i="1"/>
  <c r="AF91" i="1"/>
  <c r="AF90" i="1"/>
  <c r="AG90" i="1"/>
  <c r="AG89" i="1"/>
  <c r="AF89" i="1"/>
  <c r="AG88" i="1"/>
  <c r="AF88" i="1"/>
  <c r="AG87" i="1"/>
  <c r="AF87" i="1"/>
  <c r="AG86" i="1"/>
  <c r="AF86" i="1"/>
  <c r="AF85" i="1"/>
  <c r="AF84" i="1"/>
  <c r="AF83" i="1"/>
  <c r="AF82" i="1"/>
  <c r="AF81" i="1"/>
  <c r="AG81" i="1"/>
  <c r="AF80" i="1"/>
  <c r="AG80" i="1"/>
  <c r="AF78" i="1"/>
  <c r="AG77" i="1"/>
  <c r="AF77" i="1"/>
  <c r="AF76" i="1"/>
  <c r="AG75" i="1"/>
  <c r="AF75" i="1"/>
  <c r="AF74" i="1"/>
  <c r="AG74" i="1"/>
  <c r="AG73" i="1"/>
  <c r="AF73" i="1"/>
  <c r="AF72" i="1"/>
  <c r="AG72" i="1"/>
  <c r="AG71" i="1"/>
  <c r="AF71" i="1"/>
  <c r="AF70" i="1"/>
  <c r="AG70" i="1"/>
  <c r="AF69" i="1"/>
  <c r="AG69" i="1"/>
  <c r="AF68" i="1"/>
  <c r="AG67" i="1"/>
  <c r="AF67" i="1"/>
  <c r="AF66" i="1"/>
  <c r="AG66" i="1"/>
  <c r="AG65" i="1"/>
  <c r="AF65" i="1"/>
  <c r="AF64" i="1"/>
  <c r="AF63" i="1"/>
  <c r="AF62" i="1"/>
  <c r="AF61" i="1"/>
  <c r="AF60" i="1"/>
  <c r="AF59" i="1"/>
  <c r="AF58" i="1"/>
  <c r="AF57" i="1"/>
  <c r="AG56" i="1"/>
  <c r="AF56" i="1"/>
  <c r="AG55" i="1"/>
  <c r="AF55" i="1"/>
  <c r="AF54" i="1"/>
  <c r="AG62" i="1"/>
  <c r="AG52" i="1"/>
  <c r="AF52" i="1"/>
  <c r="AF51" i="1"/>
  <c r="AG51" i="1"/>
  <c r="AG50" i="1"/>
  <c r="AF49" i="1"/>
  <c r="AG49" i="1"/>
  <c r="AG48" i="1"/>
  <c r="AF47" i="1"/>
  <c r="AG47" i="1"/>
  <c r="AG46" i="1"/>
  <c r="AF45" i="1"/>
  <c r="AF44" i="1"/>
  <c r="AG44" i="1"/>
  <c r="AF43" i="1"/>
  <c r="AG43" i="1"/>
  <c r="AF42" i="1"/>
  <c r="AG42" i="1"/>
  <c r="AF41" i="1"/>
  <c r="AF40" i="1"/>
  <c r="AG40" i="1"/>
  <c r="AG39" i="1"/>
  <c r="AF38" i="1"/>
  <c r="AF37" i="1"/>
  <c r="AF36" i="1"/>
  <c r="AG36" i="1"/>
  <c r="AF35" i="1"/>
  <c r="AG35" i="1"/>
  <c r="AF34" i="1"/>
  <c r="AG34" i="1"/>
  <c r="AF33" i="1"/>
  <c r="AG33" i="1"/>
  <c r="AF32" i="1"/>
  <c r="AG32" i="1"/>
  <c r="AF31" i="1"/>
  <c r="AF30" i="1"/>
  <c r="AG30" i="1"/>
  <c r="AF29" i="1"/>
  <c r="AG29" i="1"/>
  <c r="AF28" i="1"/>
  <c r="AG28" i="1"/>
  <c r="AF27" i="1"/>
  <c r="AG27" i="1"/>
  <c r="AF26" i="1"/>
  <c r="AG26" i="1"/>
  <c r="AF25" i="1"/>
  <c r="AF24" i="1"/>
  <c r="AG24" i="1"/>
  <c r="AF23" i="1"/>
  <c r="AG23" i="1"/>
  <c r="AF22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Y160" i="1"/>
  <c r="Y159" i="1"/>
  <c r="Y158" i="1"/>
  <c r="Y157" i="1"/>
  <c r="AA156" i="1"/>
  <c r="AA155" i="1"/>
  <c r="AA154" i="1"/>
  <c r="AA153" i="1"/>
  <c r="Y151" i="1"/>
  <c r="Y150" i="1"/>
  <c r="Y149" i="1"/>
  <c r="Y148" i="1"/>
  <c r="Y147" i="1"/>
  <c r="Y146" i="1"/>
  <c r="AA145" i="1"/>
  <c r="AA144" i="1"/>
  <c r="AA143" i="1"/>
  <c r="AA142" i="1"/>
  <c r="AA141" i="1"/>
  <c r="AA140" i="1"/>
  <c r="AA139" i="1"/>
  <c r="AA138" i="1"/>
  <c r="Y136" i="1"/>
  <c r="Y135" i="1"/>
  <c r="Y134" i="1"/>
  <c r="Y133" i="1"/>
  <c r="AA131" i="1"/>
  <c r="AA130" i="1"/>
  <c r="AA129" i="1"/>
  <c r="AA128" i="1"/>
  <c r="AA127" i="1"/>
  <c r="Y126" i="1"/>
  <c r="Z123" i="1"/>
  <c r="Z160" i="1" s="1"/>
  <c r="AA122" i="1"/>
  <c r="AA121" i="1"/>
  <c r="AA120" i="1"/>
  <c r="Z119" i="1"/>
  <c r="Z159" i="1" s="1"/>
  <c r="Z118" i="1"/>
  <c r="Z158" i="1" s="1"/>
  <c r="Z117" i="1"/>
  <c r="AA117" i="1"/>
  <c r="AA116" i="1"/>
  <c r="Z116" i="1"/>
  <c r="AA115" i="1"/>
  <c r="Z115" i="1"/>
  <c r="AA114" i="1"/>
  <c r="Z114" i="1"/>
  <c r="AA113" i="1"/>
  <c r="Z113" i="1"/>
  <c r="AA112" i="1"/>
  <c r="Z112" i="1"/>
  <c r="AA111" i="1"/>
  <c r="Z111" i="1"/>
  <c r="AA110" i="1"/>
  <c r="Z110" i="1"/>
  <c r="AA109" i="1"/>
  <c r="Z109" i="1"/>
  <c r="Z108" i="1"/>
  <c r="AA108" i="1"/>
  <c r="AA107" i="1"/>
  <c r="Z107" i="1"/>
  <c r="AA106" i="1"/>
  <c r="Z106" i="1"/>
  <c r="AA105" i="1"/>
  <c r="Z105" i="1"/>
  <c r="AA104" i="1"/>
  <c r="Z104" i="1"/>
  <c r="AA103" i="1"/>
  <c r="Z103" i="1"/>
  <c r="AA102" i="1"/>
  <c r="Z102" i="1"/>
  <c r="AA101" i="1"/>
  <c r="Z101" i="1"/>
  <c r="AA100" i="1"/>
  <c r="Z100" i="1"/>
  <c r="AA99" i="1"/>
  <c r="Z99" i="1"/>
  <c r="AA98" i="1"/>
  <c r="AA97" i="1"/>
  <c r="Z96" i="1"/>
  <c r="Z157" i="1" s="1"/>
  <c r="Z95" i="1"/>
  <c r="AA94" i="1"/>
  <c r="Z94" i="1"/>
  <c r="AA93" i="1"/>
  <c r="Z93" i="1"/>
  <c r="Z92" i="1"/>
  <c r="Z91" i="1"/>
  <c r="AA91" i="1"/>
  <c r="Z90" i="1"/>
  <c r="AA90" i="1"/>
  <c r="AA89" i="1"/>
  <c r="Z89" i="1"/>
  <c r="AA88" i="1"/>
  <c r="Z88" i="1"/>
  <c r="AA87" i="1"/>
  <c r="Z87" i="1"/>
  <c r="AA86" i="1"/>
  <c r="Z86" i="1"/>
  <c r="Z85" i="1"/>
  <c r="Z84" i="1"/>
  <c r="Z83" i="1"/>
  <c r="Z82" i="1"/>
  <c r="Z81" i="1"/>
  <c r="AA81" i="1"/>
  <c r="Z80" i="1"/>
  <c r="AA80" i="1"/>
  <c r="Z78" i="1"/>
  <c r="AA77" i="1"/>
  <c r="Z77" i="1"/>
  <c r="Z76" i="1"/>
  <c r="AA75" i="1"/>
  <c r="Z75" i="1"/>
  <c r="Z74" i="1"/>
  <c r="AA74" i="1"/>
  <c r="AA73" i="1"/>
  <c r="Z73" i="1"/>
  <c r="Z72" i="1"/>
  <c r="AA72" i="1"/>
  <c r="AA71" i="1"/>
  <c r="Z71" i="1"/>
  <c r="Z70" i="1"/>
  <c r="AA70" i="1"/>
  <c r="Z69" i="1"/>
  <c r="AA69" i="1"/>
  <c r="Z68" i="1"/>
  <c r="AA67" i="1"/>
  <c r="Z67" i="1"/>
  <c r="Z66" i="1"/>
  <c r="AA66" i="1"/>
  <c r="AA65" i="1"/>
  <c r="Z65" i="1"/>
  <c r="Z64" i="1"/>
  <c r="Z63" i="1"/>
  <c r="Z62" i="1"/>
  <c r="Z61" i="1"/>
  <c r="Z60" i="1"/>
  <c r="Z59" i="1"/>
  <c r="Z58" i="1"/>
  <c r="Z57" i="1"/>
  <c r="AA56" i="1"/>
  <c r="Z56" i="1"/>
  <c r="AA55" i="1"/>
  <c r="Z55" i="1"/>
  <c r="Z54" i="1"/>
  <c r="AA62" i="1"/>
  <c r="AA52" i="1"/>
  <c r="Z52" i="1"/>
  <c r="Z51" i="1"/>
  <c r="AA51" i="1"/>
  <c r="AA50" i="1"/>
  <c r="Z49" i="1"/>
  <c r="AA49" i="1"/>
  <c r="AA48" i="1"/>
  <c r="Z47" i="1"/>
  <c r="AA47" i="1"/>
  <c r="AA46" i="1"/>
  <c r="Z45" i="1"/>
  <c r="Z44" i="1"/>
  <c r="AA44" i="1"/>
  <c r="Z43" i="1"/>
  <c r="AA43" i="1"/>
  <c r="Z42" i="1"/>
  <c r="AA42" i="1"/>
  <c r="Z41" i="1"/>
  <c r="Z40" i="1"/>
  <c r="AA40" i="1"/>
  <c r="AA39" i="1"/>
  <c r="Z38" i="1"/>
  <c r="Z37" i="1"/>
  <c r="Z36" i="1"/>
  <c r="AA36" i="1"/>
  <c r="Z35" i="1"/>
  <c r="AA35" i="1"/>
  <c r="Z34" i="1"/>
  <c r="AA34" i="1"/>
  <c r="Z33" i="1"/>
  <c r="AA33" i="1"/>
  <c r="Z32" i="1"/>
  <c r="AA32" i="1"/>
  <c r="Z31" i="1"/>
  <c r="Z30" i="1"/>
  <c r="AA30" i="1"/>
  <c r="Z29" i="1"/>
  <c r="AA29" i="1"/>
  <c r="Z28" i="1"/>
  <c r="AA28" i="1"/>
  <c r="Z27" i="1"/>
  <c r="AA27" i="1"/>
  <c r="Z26" i="1"/>
  <c r="AA26" i="1"/>
  <c r="Z25" i="1"/>
  <c r="Z24" i="1"/>
  <c r="AA24" i="1"/>
  <c r="Z23" i="1"/>
  <c r="AA23" i="1"/>
  <c r="Z22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K79" i="1"/>
  <c r="AI79" i="1"/>
  <c r="AV96" i="1" l="1"/>
  <c r="CT96" i="1"/>
  <c r="CT157" i="1" s="1"/>
  <c r="CZ92" i="1"/>
  <c r="DA85" i="1"/>
  <c r="CZ95" i="1"/>
  <c r="DA95" i="1" s="1"/>
  <c r="CT133" i="1"/>
  <c r="CO92" i="1"/>
  <c r="CN96" i="1"/>
  <c r="CB92" i="1"/>
  <c r="CA96" i="1"/>
  <c r="BU96" i="1"/>
  <c r="BO96" i="1"/>
  <c r="BC92" i="1"/>
  <c r="BB96" i="1"/>
  <c r="AV133" i="1"/>
  <c r="AW96" i="1"/>
  <c r="AW157" i="1" s="1"/>
  <c r="AV119" i="1"/>
  <c r="AV157" i="1"/>
  <c r="AP92" i="1"/>
  <c r="AQ85" i="1"/>
  <c r="AP95" i="1"/>
  <c r="AQ95" i="1" s="1"/>
  <c r="AC96" i="1"/>
  <c r="W92" i="1"/>
  <c r="X92" i="1" s="1"/>
  <c r="X85" i="1"/>
  <c r="AZ126" i="1"/>
  <c r="BS61" i="1"/>
  <c r="BS155" i="1"/>
  <c r="CR155" i="1"/>
  <c r="DF155" i="1"/>
  <c r="DJ155" i="1" s="1"/>
  <c r="CK155" i="1"/>
  <c r="AG91" i="1"/>
  <c r="AT91" i="1"/>
  <c r="AZ91" i="1"/>
  <c r="CX45" i="1"/>
  <c r="BF61" i="1"/>
  <c r="BW157" i="1"/>
  <c r="CI157" i="1" s="1"/>
  <c r="CE158" i="1"/>
  <c r="CR102" i="1"/>
  <c r="AT76" i="1"/>
  <c r="BY70" i="1"/>
  <c r="BX123" i="1"/>
  <c r="BX160" i="1" s="1"/>
  <c r="BW133" i="1"/>
  <c r="CE70" i="1"/>
  <c r="CX61" i="1"/>
  <c r="DD31" i="1"/>
  <c r="AT155" i="1"/>
  <c r="BH155" i="1"/>
  <c r="BL155" i="1" s="1"/>
  <c r="AZ31" i="1"/>
  <c r="BW159" i="1"/>
  <c r="CI159" i="1" s="1"/>
  <c r="BS78" i="1"/>
  <c r="CI160" i="1"/>
  <c r="CE91" i="1"/>
  <c r="CR91" i="1"/>
  <c r="BF53" i="1"/>
  <c r="DD126" i="1"/>
  <c r="BJ159" i="1"/>
  <c r="CX126" i="1"/>
  <c r="DH160" i="1"/>
  <c r="CP157" i="1"/>
  <c r="DH157" i="1" s="1"/>
  <c r="DJ79" i="1"/>
  <c r="CR126" i="1"/>
  <c r="CP159" i="1"/>
  <c r="DH159" i="1" s="1"/>
  <c r="BY126" i="1"/>
  <c r="CK79" i="1"/>
  <c r="BS126" i="1"/>
  <c r="BJ160" i="1"/>
  <c r="BF126" i="1"/>
  <c r="BL79" i="1"/>
  <c r="AG126" i="1"/>
  <c r="AA126" i="1"/>
  <c r="DD45" i="1"/>
  <c r="DD158" i="1"/>
  <c r="DD118" i="1"/>
  <c r="DD76" i="1"/>
  <c r="DD41" i="1"/>
  <c r="DD53" i="1"/>
  <c r="DD59" i="1"/>
  <c r="DD61" i="1"/>
  <c r="DD83" i="1"/>
  <c r="DD108" i="1"/>
  <c r="DD25" i="1"/>
  <c r="DD60" i="1"/>
  <c r="DD68" i="1"/>
  <c r="CX31" i="1"/>
  <c r="CX91" i="1"/>
  <c r="CX37" i="1"/>
  <c r="CX76" i="1"/>
  <c r="CX158" i="1"/>
  <c r="CX118" i="1"/>
  <c r="CX30" i="1"/>
  <c r="CX33" i="1"/>
  <c r="CX41" i="1"/>
  <c r="CX69" i="1"/>
  <c r="CX83" i="1"/>
  <c r="CX90" i="1"/>
  <c r="CX60" i="1"/>
  <c r="CX68" i="1"/>
  <c r="CX102" i="1"/>
  <c r="CR31" i="1"/>
  <c r="CR45" i="1"/>
  <c r="CR76" i="1"/>
  <c r="CR118" i="1"/>
  <c r="CR30" i="1"/>
  <c r="CR41" i="1"/>
  <c r="CR53" i="1"/>
  <c r="CR59" i="1"/>
  <c r="CR61" i="1"/>
  <c r="CR83" i="1"/>
  <c r="CR60" i="1"/>
  <c r="CR68" i="1"/>
  <c r="CE31" i="1"/>
  <c r="CE45" i="1"/>
  <c r="CE76" i="1"/>
  <c r="CE41" i="1"/>
  <c r="CE53" i="1"/>
  <c r="CE59" i="1"/>
  <c r="CE61" i="1"/>
  <c r="CE83" i="1"/>
  <c r="CE108" i="1"/>
  <c r="CE25" i="1"/>
  <c r="CE60" i="1"/>
  <c r="CE68" i="1"/>
  <c r="BY31" i="1"/>
  <c r="BY45" i="1"/>
  <c r="BY158" i="1"/>
  <c r="BY118" i="1"/>
  <c r="BY76" i="1"/>
  <c r="BY41" i="1"/>
  <c r="BY53" i="1"/>
  <c r="BY59" i="1"/>
  <c r="BY61" i="1"/>
  <c r="BY83" i="1"/>
  <c r="BY108" i="1"/>
  <c r="BY25" i="1"/>
  <c r="BY60" i="1"/>
  <c r="BY68" i="1"/>
  <c r="BS45" i="1"/>
  <c r="BS37" i="1"/>
  <c r="BS41" i="1"/>
  <c r="BS69" i="1"/>
  <c r="BS90" i="1"/>
  <c r="BS30" i="1"/>
  <c r="BS33" i="1"/>
  <c r="BS118" i="1"/>
  <c r="BS60" i="1"/>
  <c r="BS68" i="1"/>
  <c r="BS102" i="1"/>
  <c r="BF45" i="1"/>
  <c r="BF37" i="1"/>
  <c r="BF78" i="1"/>
  <c r="BF41" i="1"/>
  <c r="BF69" i="1"/>
  <c r="BF76" i="1"/>
  <c r="BF90" i="1"/>
  <c r="BF30" i="1"/>
  <c r="BF33" i="1"/>
  <c r="BF158" i="1"/>
  <c r="BF118" i="1"/>
  <c r="BF60" i="1"/>
  <c r="BF68" i="1"/>
  <c r="BF102" i="1"/>
  <c r="AZ45" i="1"/>
  <c r="AZ158" i="1"/>
  <c r="AZ118" i="1"/>
  <c r="AZ76" i="1"/>
  <c r="AZ41" i="1"/>
  <c r="AZ53" i="1"/>
  <c r="AZ59" i="1"/>
  <c r="AZ61" i="1"/>
  <c r="AZ83" i="1"/>
  <c r="AZ108" i="1"/>
  <c r="AZ25" i="1"/>
  <c r="AZ60" i="1"/>
  <c r="AZ68" i="1"/>
  <c r="AT31" i="1"/>
  <c r="AT45" i="1"/>
  <c r="AT118" i="1"/>
  <c r="AT41" i="1"/>
  <c r="AT53" i="1"/>
  <c r="AT59" i="1"/>
  <c r="AT61" i="1"/>
  <c r="AT83" i="1"/>
  <c r="AT25" i="1"/>
  <c r="AT60" i="1"/>
  <c r="AT68" i="1"/>
  <c r="AG31" i="1"/>
  <c r="AG76" i="1"/>
  <c r="AG45" i="1"/>
  <c r="AG158" i="1"/>
  <c r="AG118" i="1"/>
  <c r="AG25" i="1"/>
  <c r="AG41" i="1"/>
  <c r="AG53" i="1"/>
  <c r="AG59" i="1"/>
  <c r="AG61" i="1"/>
  <c r="AG83" i="1"/>
  <c r="AG108" i="1"/>
  <c r="AG60" i="1"/>
  <c r="AG68" i="1"/>
  <c r="AA31" i="1"/>
  <c r="AA45" i="1"/>
  <c r="AA76" i="1"/>
  <c r="AA158" i="1"/>
  <c r="AA118" i="1"/>
  <c r="AM79" i="1"/>
  <c r="AA41" i="1"/>
  <c r="AA53" i="1"/>
  <c r="AA59" i="1"/>
  <c r="AA61" i="1"/>
  <c r="AA83" i="1"/>
  <c r="AA25" i="1"/>
  <c r="AA60" i="1"/>
  <c r="AA68" i="1"/>
  <c r="Q90" i="1"/>
  <c r="R89" i="1"/>
  <c r="R88" i="1"/>
  <c r="R87" i="1"/>
  <c r="R86" i="1"/>
  <c r="Q83" i="1"/>
  <c r="Q82" i="1"/>
  <c r="Q81" i="1"/>
  <c r="R77" i="1"/>
  <c r="R75" i="1"/>
  <c r="Q74" i="1"/>
  <c r="Q72" i="1"/>
  <c r="Q70" i="1"/>
  <c r="Q68" i="1"/>
  <c r="R67" i="1"/>
  <c r="Q66" i="1"/>
  <c r="R65" i="1"/>
  <c r="CU96" i="1" l="1"/>
  <c r="CU157" i="1" s="1"/>
  <c r="CT119" i="1"/>
  <c r="CT159" i="1" s="1"/>
  <c r="Q76" i="1"/>
  <c r="R76" i="1" s="1"/>
  <c r="DA92" i="1"/>
  <c r="CZ96" i="1"/>
  <c r="CT123" i="1"/>
  <c r="CN119" i="1"/>
  <c r="CN133" i="1"/>
  <c r="CO96" i="1"/>
  <c r="CO157" i="1" s="1"/>
  <c r="CN157" i="1"/>
  <c r="CA133" i="1"/>
  <c r="CB96" i="1"/>
  <c r="CB157" i="1" s="1"/>
  <c r="CA119" i="1"/>
  <c r="CA157" i="1"/>
  <c r="BU119" i="1"/>
  <c r="BU133" i="1"/>
  <c r="BV96" i="1"/>
  <c r="BV157" i="1" s="1"/>
  <c r="BU157" i="1"/>
  <c r="BO133" i="1"/>
  <c r="BP96" i="1"/>
  <c r="BP157" i="1" s="1"/>
  <c r="BO157" i="1"/>
  <c r="BO119" i="1"/>
  <c r="BB119" i="1"/>
  <c r="BB133" i="1"/>
  <c r="BC96" i="1"/>
  <c r="BC157" i="1" s="1"/>
  <c r="BB157" i="1"/>
  <c r="AV159" i="1"/>
  <c r="AV123" i="1"/>
  <c r="AW119" i="1"/>
  <c r="AW159" i="1" s="1"/>
  <c r="AQ92" i="1"/>
  <c r="AP96" i="1"/>
  <c r="AC133" i="1"/>
  <c r="AD96" i="1"/>
  <c r="AD157" i="1" s="1"/>
  <c r="AC119" i="1"/>
  <c r="AC157" i="1"/>
  <c r="W96" i="1"/>
  <c r="BS76" i="1"/>
  <c r="AT158" i="1"/>
  <c r="BH158" i="1"/>
  <c r="BL158" i="1" s="1"/>
  <c r="BS158" i="1"/>
  <c r="CG158" i="1"/>
  <c r="CK158" i="1" s="1"/>
  <c r="CE118" i="1"/>
  <c r="CR158" i="1"/>
  <c r="DF158" i="1"/>
  <c r="DJ158" i="1" s="1"/>
  <c r="DD85" i="1"/>
  <c r="DD38" i="1"/>
  <c r="DD58" i="1"/>
  <c r="DD37" i="1"/>
  <c r="DD78" i="1"/>
  <c r="DD54" i="1"/>
  <c r="CX85" i="1"/>
  <c r="CX58" i="1"/>
  <c r="CX38" i="1"/>
  <c r="CX78" i="1"/>
  <c r="CX54" i="1"/>
  <c r="CR37" i="1"/>
  <c r="CR78" i="1"/>
  <c r="CR58" i="1"/>
  <c r="CR85" i="1"/>
  <c r="CR54" i="1"/>
  <c r="CE37" i="1"/>
  <c r="CE78" i="1"/>
  <c r="CE54" i="1"/>
  <c r="CE58" i="1"/>
  <c r="BY58" i="1"/>
  <c r="BY78" i="1"/>
  <c r="BY54" i="1"/>
  <c r="BY37" i="1"/>
  <c r="BY85" i="1"/>
  <c r="BS31" i="1"/>
  <c r="BS91" i="1"/>
  <c r="BS58" i="1"/>
  <c r="BS85" i="1"/>
  <c r="BS54" i="1"/>
  <c r="BF31" i="1"/>
  <c r="BF91" i="1"/>
  <c r="BF58" i="1"/>
  <c r="BF85" i="1"/>
  <c r="BF54" i="1"/>
  <c r="AZ38" i="1"/>
  <c r="AZ58" i="1"/>
  <c r="AZ78" i="1"/>
  <c r="AZ54" i="1"/>
  <c r="AZ37" i="1"/>
  <c r="AZ85" i="1"/>
  <c r="AT38" i="1"/>
  <c r="AT78" i="1"/>
  <c r="AT58" i="1"/>
  <c r="AT37" i="1"/>
  <c r="AT54" i="1"/>
  <c r="AG54" i="1"/>
  <c r="AG78" i="1"/>
  <c r="AG58" i="1"/>
  <c r="AG37" i="1"/>
  <c r="AA58" i="1"/>
  <c r="AA37" i="1"/>
  <c r="AA78" i="1"/>
  <c r="AA85" i="1"/>
  <c r="AA54" i="1"/>
  <c r="L82" i="1"/>
  <c r="J82" i="1"/>
  <c r="L79" i="1"/>
  <c r="J79" i="1"/>
  <c r="CU119" i="1" l="1"/>
  <c r="CU159" i="1" s="1"/>
  <c r="Q78" i="1"/>
  <c r="Q85" i="1" s="1"/>
  <c r="R85" i="1" s="1"/>
  <c r="CZ119" i="1"/>
  <c r="CZ133" i="1"/>
  <c r="DA96" i="1"/>
  <c r="DA157" i="1" s="1"/>
  <c r="CZ157" i="1"/>
  <c r="CT160" i="1"/>
  <c r="CU123" i="1"/>
  <c r="CU160" i="1" s="1"/>
  <c r="CN159" i="1"/>
  <c r="CN123" i="1"/>
  <c r="CO119" i="1"/>
  <c r="CO159" i="1" s="1"/>
  <c r="CA159" i="1"/>
  <c r="CA123" i="1"/>
  <c r="CB119" i="1"/>
  <c r="CB159" i="1" s="1"/>
  <c r="BU159" i="1"/>
  <c r="BU123" i="1"/>
  <c r="BV119" i="1"/>
  <c r="BV159" i="1" s="1"/>
  <c r="BO159" i="1"/>
  <c r="BP119" i="1"/>
  <c r="BP159" i="1" s="1"/>
  <c r="BO123" i="1"/>
  <c r="BB159" i="1"/>
  <c r="BB123" i="1"/>
  <c r="BC119" i="1"/>
  <c r="BC159" i="1" s="1"/>
  <c r="AV160" i="1"/>
  <c r="AW123" i="1"/>
  <c r="AW160" i="1" s="1"/>
  <c r="AP133" i="1"/>
  <c r="AQ96" i="1"/>
  <c r="AQ157" i="1" s="1"/>
  <c r="AP157" i="1"/>
  <c r="AP119" i="1"/>
  <c r="AC159" i="1"/>
  <c r="AC123" i="1"/>
  <c r="AD119" i="1"/>
  <c r="AD159" i="1" s="1"/>
  <c r="W133" i="1"/>
  <c r="X96" i="1"/>
  <c r="X157" i="1" s="1"/>
  <c r="W157" i="1"/>
  <c r="W119" i="1"/>
  <c r="DD57" i="1"/>
  <c r="DD63" i="1"/>
  <c r="DD92" i="1"/>
  <c r="CX57" i="1"/>
  <c r="CX63" i="1"/>
  <c r="CX92" i="1"/>
  <c r="CR92" i="1"/>
  <c r="CR57" i="1"/>
  <c r="CR63" i="1"/>
  <c r="CR38" i="1"/>
  <c r="CE85" i="1"/>
  <c r="CE38" i="1"/>
  <c r="CE63" i="1"/>
  <c r="CE57" i="1"/>
  <c r="BY92" i="1"/>
  <c r="BY57" i="1"/>
  <c r="BY63" i="1"/>
  <c r="BY38" i="1"/>
  <c r="BS57" i="1"/>
  <c r="BS63" i="1"/>
  <c r="BS38" i="1"/>
  <c r="BS92" i="1"/>
  <c r="BF57" i="1"/>
  <c r="BF63" i="1"/>
  <c r="BF38" i="1"/>
  <c r="BF92" i="1"/>
  <c r="AZ57" i="1"/>
  <c r="AZ63" i="1"/>
  <c r="AZ92" i="1"/>
  <c r="AT57" i="1"/>
  <c r="AT63" i="1"/>
  <c r="AT85" i="1"/>
  <c r="AG38" i="1"/>
  <c r="AG63" i="1"/>
  <c r="AG85" i="1"/>
  <c r="AG57" i="1"/>
  <c r="AA92" i="1"/>
  <c r="N79" i="1"/>
  <c r="AA57" i="1"/>
  <c r="AA38" i="1"/>
  <c r="AA63" i="1"/>
  <c r="R78" i="1"/>
  <c r="Q84" i="1" l="1"/>
  <c r="R84" i="1" s="1"/>
  <c r="CZ159" i="1"/>
  <c r="CZ123" i="1"/>
  <c r="DA119" i="1"/>
  <c r="DA159" i="1" s="1"/>
  <c r="CN160" i="1"/>
  <c r="CO123" i="1"/>
  <c r="CO160" i="1" s="1"/>
  <c r="CA160" i="1"/>
  <c r="CB123" i="1"/>
  <c r="CB160" i="1" s="1"/>
  <c r="BU160" i="1"/>
  <c r="BV123" i="1"/>
  <c r="BV160" i="1" s="1"/>
  <c r="BO160" i="1"/>
  <c r="BP123" i="1"/>
  <c r="BP160" i="1" s="1"/>
  <c r="BC123" i="1"/>
  <c r="BC160" i="1" s="1"/>
  <c r="BB160" i="1"/>
  <c r="AP159" i="1"/>
  <c r="AP123" i="1"/>
  <c r="AQ119" i="1"/>
  <c r="AQ159" i="1" s="1"/>
  <c r="AC160" i="1"/>
  <c r="AD123" i="1"/>
  <c r="AD160" i="1" s="1"/>
  <c r="W159" i="1"/>
  <c r="W123" i="1"/>
  <c r="X119" i="1"/>
  <c r="X159" i="1" s="1"/>
  <c r="DD95" i="1"/>
  <c r="DD64" i="1"/>
  <c r="CX95" i="1"/>
  <c r="CX64" i="1"/>
  <c r="CR95" i="1"/>
  <c r="CR96" i="1"/>
  <c r="CR64" i="1"/>
  <c r="CE157" i="1"/>
  <c r="CE96" i="1"/>
  <c r="CE95" i="1"/>
  <c r="CE64" i="1"/>
  <c r="CE92" i="1"/>
  <c r="BY95" i="1"/>
  <c r="BY157" i="1"/>
  <c r="BY96" i="1"/>
  <c r="BY64" i="1"/>
  <c r="BS96" i="1"/>
  <c r="BS95" i="1"/>
  <c r="BS64" i="1"/>
  <c r="BF157" i="1"/>
  <c r="BF96" i="1"/>
  <c r="BF95" i="1"/>
  <c r="BF64" i="1"/>
  <c r="AZ95" i="1"/>
  <c r="AZ64" i="1"/>
  <c r="AT95" i="1"/>
  <c r="AT92" i="1"/>
  <c r="AT64" i="1"/>
  <c r="AG95" i="1"/>
  <c r="AG92" i="1"/>
  <c r="AG64" i="1"/>
  <c r="AA157" i="1"/>
  <c r="AA96" i="1"/>
  <c r="AA64" i="1"/>
  <c r="AA95" i="1"/>
  <c r="DE151" i="1"/>
  <c r="DE150" i="1"/>
  <c r="DE149" i="1"/>
  <c r="DE148" i="1"/>
  <c r="DE147" i="1"/>
  <c r="DE146" i="1"/>
  <c r="CF151" i="1"/>
  <c r="CF150" i="1"/>
  <c r="CF149" i="1"/>
  <c r="CF148" i="1"/>
  <c r="CF147" i="1"/>
  <c r="CF146" i="1"/>
  <c r="BG151" i="1"/>
  <c r="BG150" i="1"/>
  <c r="BG149" i="1"/>
  <c r="BG148" i="1"/>
  <c r="BG147" i="1"/>
  <c r="BG146" i="1"/>
  <c r="AM153" i="1"/>
  <c r="AM154" i="1"/>
  <c r="AM156" i="1"/>
  <c r="CZ160" i="1" l="1"/>
  <c r="DA123" i="1"/>
  <c r="DA160" i="1" s="1"/>
  <c r="AQ123" i="1"/>
  <c r="AQ160" i="1" s="1"/>
  <c r="AP160" i="1"/>
  <c r="W160" i="1"/>
  <c r="X123" i="1"/>
  <c r="X160" i="1" s="1"/>
  <c r="CR157" i="1"/>
  <c r="BS157" i="1"/>
  <c r="CG157" i="1"/>
  <c r="CK157" i="1" s="1"/>
  <c r="DD157" i="1"/>
  <c r="DD96" i="1"/>
  <c r="CX157" i="1"/>
  <c r="CX96" i="1"/>
  <c r="CR119" i="1"/>
  <c r="CE159" i="1"/>
  <c r="CE119" i="1"/>
  <c r="BY159" i="1"/>
  <c r="BY119" i="1"/>
  <c r="BS119" i="1"/>
  <c r="BF159" i="1"/>
  <c r="BF119" i="1"/>
  <c r="AZ157" i="1"/>
  <c r="AZ96" i="1"/>
  <c r="AT96" i="1"/>
  <c r="AG157" i="1"/>
  <c r="AG96" i="1"/>
  <c r="AA159" i="1"/>
  <c r="AA119" i="1"/>
  <c r="AK151" i="1"/>
  <c r="AI151" i="1"/>
  <c r="AK150" i="1"/>
  <c r="AI150" i="1"/>
  <c r="AK149" i="1"/>
  <c r="AI149" i="1"/>
  <c r="AK147" i="1"/>
  <c r="AI147" i="1"/>
  <c r="S151" i="1"/>
  <c r="S150" i="1"/>
  <c r="S149" i="1"/>
  <c r="S148" i="1"/>
  <c r="S147" i="1"/>
  <c r="S146" i="1"/>
  <c r="S136" i="1"/>
  <c r="S135" i="1"/>
  <c r="S134" i="1"/>
  <c r="S133" i="1"/>
  <c r="S126" i="1"/>
  <c r="CR159" i="1" l="1"/>
  <c r="BS159" i="1"/>
  <c r="CG159" i="1"/>
  <c r="CK159" i="1" s="1"/>
  <c r="DF157" i="1"/>
  <c r="DJ157" i="1" s="1"/>
  <c r="AT157" i="1"/>
  <c r="BH157" i="1"/>
  <c r="BL157" i="1" s="1"/>
  <c r="DD159" i="1"/>
  <c r="DD119" i="1"/>
  <c r="CX159" i="1"/>
  <c r="CX119" i="1"/>
  <c r="CR123" i="1"/>
  <c r="CE160" i="1"/>
  <c r="CE123" i="1"/>
  <c r="BY160" i="1"/>
  <c r="BY123" i="1"/>
  <c r="BS123" i="1"/>
  <c r="BF160" i="1"/>
  <c r="BF123" i="1"/>
  <c r="AZ159" i="1"/>
  <c r="AZ119" i="1"/>
  <c r="AT119" i="1"/>
  <c r="AG159" i="1"/>
  <c r="AG119" i="1"/>
  <c r="AA160" i="1"/>
  <c r="AA123" i="1"/>
  <c r="AT159" i="1" l="1"/>
  <c r="BH159" i="1"/>
  <c r="BL159" i="1" s="1"/>
  <c r="CR160" i="1"/>
  <c r="DF159" i="1"/>
  <c r="DJ159" i="1" s="1"/>
  <c r="BS160" i="1"/>
  <c r="CG160" i="1"/>
  <c r="CK160" i="1" s="1"/>
  <c r="DD160" i="1"/>
  <c r="DD123" i="1"/>
  <c r="CX160" i="1"/>
  <c r="CX123" i="1"/>
  <c r="AZ160" i="1"/>
  <c r="AZ123" i="1"/>
  <c r="AT123" i="1"/>
  <c r="AG160" i="1"/>
  <c r="AG123" i="1"/>
  <c r="DF160" i="1" l="1"/>
  <c r="DJ160" i="1" s="1"/>
  <c r="AT160" i="1"/>
  <c r="BH160" i="1"/>
  <c r="BL160" i="1" s="1"/>
  <c r="R115" i="1"/>
  <c r="R114" i="1"/>
  <c r="R113" i="1"/>
  <c r="R112" i="1"/>
  <c r="R111" i="1"/>
  <c r="R110" i="1"/>
  <c r="R109" i="1"/>
  <c r="R107" i="1"/>
  <c r="R106" i="1"/>
  <c r="R105" i="1"/>
  <c r="R104" i="1"/>
  <c r="T84" i="1" l="1"/>
  <c r="L84" i="1" l="1"/>
  <c r="BJ84" i="1"/>
  <c r="Q155" i="1"/>
  <c r="AI155" i="1" s="1"/>
  <c r="AM155" i="1" s="1"/>
  <c r="CG84" i="1" l="1"/>
  <c r="BH84" i="1"/>
  <c r="CI84" i="1"/>
  <c r="DF84" i="1" l="1"/>
  <c r="Q134" i="1" l="1"/>
  <c r="Q135" i="1"/>
  <c r="AH134" i="1"/>
  <c r="Q117" i="1" l="1"/>
  <c r="AI117" i="1" s="1"/>
  <c r="AJ117" i="1" s="1"/>
  <c r="Q108" i="1"/>
  <c r="U108" i="1" s="1"/>
  <c r="DK160" i="1"/>
  <c r="DE160" i="1"/>
  <c r="CY160" i="1"/>
  <c r="CS160" i="1"/>
  <c r="CL160" i="1"/>
  <c r="CF160" i="1"/>
  <c r="BZ160" i="1"/>
  <c r="BT160" i="1"/>
  <c r="BM160" i="1"/>
  <c r="BG160" i="1"/>
  <c r="BA160" i="1"/>
  <c r="AU160" i="1"/>
  <c r="AN160" i="1"/>
  <c r="AB160" i="1"/>
  <c r="V160" i="1"/>
  <c r="S160" i="1"/>
  <c r="AK160" i="1" s="1"/>
  <c r="DK159" i="1"/>
  <c r="DE159" i="1"/>
  <c r="CY159" i="1"/>
  <c r="CS159" i="1"/>
  <c r="CL159" i="1"/>
  <c r="CF159" i="1"/>
  <c r="BZ159" i="1"/>
  <c r="BT159" i="1"/>
  <c r="BM159" i="1"/>
  <c r="BG159" i="1"/>
  <c r="BA159" i="1"/>
  <c r="AU159" i="1"/>
  <c r="AN159" i="1"/>
  <c r="AB159" i="1"/>
  <c r="V159" i="1"/>
  <c r="S159" i="1"/>
  <c r="AK159" i="1" s="1"/>
  <c r="DK158" i="1"/>
  <c r="DE158" i="1"/>
  <c r="CY158" i="1"/>
  <c r="CS158" i="1"/>
  <c r="CL158" i="1"/>
  <c r="CF158" i="1"/>
  <c r="BZ158" i="1"/>
  <c r="BT158" i="1"/>
  <c r="BM158" i="1"/>
  <c r="BG158" i="1"/>
  <c r="BA158" i="1"/>
  <c r="AU158" i="1"/>
  <c r="AN158" i="1"/>
  <c r="AB158" i="1"/>
  <c r="V158" i="1"/>
  <c r="S158" i="1"/>
  <c r="AK158" i="1" s="1"/>
  <c r="DK157" i="1"/>
  <c r="DE157" i="1"/>
  <c r="CY157" i="1"/>
  <c r="CS157" i="1"/>
  <c r="CL157" i="1"/>
  <c r="CF157" i="1"/>
  <c r="BZ157" i="1"/>
  <c r="BT157" i="1"/>
  <c r="BM157" i="1"/>
  <c r="BG157" i="1"/>
  <c r="BA157" i="1"/>
  <c r="AU157" i="1"/>
  <c r="AN157" i="1"/>
  <c r="AB157" i="1"/>
  <c r="V157" i="1"/>
  <c r="S157" i="1"/>
  <c r="AK157" i="1" s="1"/>
  <c r="AH156" i="1"/>
  <c r="O156" i="1" s="1"/>
  <c r="U156" i="1"/>
  <c r="L156" i="1"/>
  <c r="J156" i="1"/>
  <c r="AH155" i="1"/>
  <c r="O155" i="1" s="1"/>
  <c r="U155" i="1"/>
  <c r="L155" i="1"/>
  <c r="J155" i="1"/>
  <c r="AH154" i="1"/>
  <c r="O154" i="1" s="1"/>
  <c r="U154" i="1"/>
  <c r="L154" i="1"/>
  <c r="J154" i="1"/>
  <c r="AH153" i="1"/>
  <c r="O153" i="1" s="1"/>
  <c r="U153" i="1"/>
  <c r="L153" i="1"/>
  <c r="J153" i="1"/>
  <c r="AH151" i="1"/>
  <c r="Q151" i="1"/>
  <c r="AH150" i="1"/>
  <c r="Q150" i="1"/>
  <c r="AH149" i="1"/>
  <c r="Q149" i="1"/>
  <c r="AH148" i="1"/>
  <c r="Q148" i="1"/>
  <c r="AH147" i="1"/>
  <c r="Q147" i="1"/>
  <c r="AH146" i="1"/>
  <c r="Q146" i="1"/>
  <c r="AM145" i="1"/>
  <c r="U145" i="1"/>
  <c r="L145" i="1"/>
  <c r="J145" i="1"/>
  <c r="AM144" i="1"/>
  <c r="U144" i="1"/>
  <c r="L144" i="1"/>
  <c r="J144" i="1"/>
  <c r="AM143" i="1"/>
  <c r="U143" i="1"/>
  <c r="L143" i="1"/>
  <c r="J143" i="1"/>
  <c r="AM142" i="1"/>
  <c r="AH142" i="1"/>
  <c r="O142" i="1" s="1"/>
  <c r="U142" i="1"/>
  <c r="L142" i="1"/>
  <c r="J142" i="1"/>
  <c r="AM141" i="1"/>
  <c r="AH141" i="1"/>
  <c r="O141" i="1" s="1"/>
  <c r="U141" i="1"/>
  <c r="L141" i="1"/>
  <c r="J141" i="1"/>
  <c r="AM140" i="1"/>
  <c r="AH140" i="1"/>
  <c r="O140" i="1" s="1"/>
  <c r="U140" i="1"/>
  <c r="L140" i="1"/>
  <c r="J140" i="1"/>
  <c r="AM139" i="1"/>
  <c r="AH139" i="1"/>
  <c r="O139" i="1" s="1"/>
  <c r="U139" i="1"/>
  <c r="L139" i="1"/>
  <c r="J139" i="1"/>
  <c r="AM138" i="1"/>
  <c r="AH138" i="1"/>
  <c r="O138" i="1" s="1"/>
  <c r="U138" i="1"/>
  <c r="L138" i="1"/>
  <c r="J138" i="1"/>
  <c r="AH136" i="1"/>
  <c r="Q136" i="1"/>
  <c r="AH135" i="1"/>
  <c r="AH133" i="1"/>
  <c r="AM131" i="1"/>
  <c r="AH131" i="1"/>
  <c r="U131" i="1"/>
  <c r="L131" i="1"/>
  <c r="J131" i="1"/>
  <c r="AM130" i="1"/>
  <c r="AH130" i="1"/>
  <c r="U130" i="1"/>
  <c r="L130" i="1"/>
  <c r="J130" i="1"/>
  <c r="AM129" i="1"/>
  <c r="AH129" i="1"/>
  <c r="U129" i="1"/>
  <c r="L129" i="1"/>
  <c r="J129" i="1"/>
  <c r="AM128" i="1"/>
  <c r="AH128" i="1"/>
  <c r="U128" i="1"/>
  <c r="L128" i="1"/>
  <c r="J128" i="1"/>
  <c r="AM127" i="1"/>
  <c r="AH127" i="1"/>
  <c r="U127" i="1"/>
  <c r="L127" i="1"/>
  <c r="J127" i="1"/>
  <c r="AH126" i="1"/>
  <c r="Q126" i="1"/>
  <c r="U126" i="1" s="1"/>
  <c r="DH123" i="1"/>
  <c r="CI123" i="1"/>
  <c r="BJ123" i="1"/>
  <c r="AK123" i="1"/>
  <c r="T123" i="1"/>
  <c r="T160" i="1" s="1"/>
  <c r="L123" i="1"/>
  <c r="L160" i="1" s="1"/>
  <c r="DH122" i="1"/>
  <c r="CI122" i="1"/>
  <c r="BJ122" i="1"/>
  <c r="AK122" i="1"/>
  <c r="AH122" i="1"/>
  <c r="O122" i="1" s="1"/>
  <c r="Q122" i="1"/>
  <c r="L122" i="1"/>
  <c r="DH121" i="1"/>
  <c r="DF121" i="1"/>
  <c r="CI121" i="1"/>
  <c r="CG121" i="1"/>
  <c r="BJ121" i="1"/>
  <c r="BH121" i="1"/>
  <c r="AK121" i="1"/>
  <c r="AI121" i="1"/>
  <c r="AH121" i="1"/>
  <c r="O121" i="1" s="1"/>
  <c r="U121" i="1"/>
  <c r="L121" i="1"/>
  <c r="J121" i="1"/>
  <c r="DH120" i="1"/>
  <c r="DF120" i="1"/>
  <c r="CI120" i="1"/>
  <c r="CG120" i="1"/>
  <c r="BJ120" i="1"/>
  <c r="BH120" i="1"/>
  <c r="AK120" i="1"/>
  <c r="AI120" i="1"/>
  <c r="AH120" i="1"/>
  <c r="O120" i="1" s="1"/>
  <c r="U120" i="1"/>
  <c r="L120" i="1"/>
  <c r="J120" i="1"/>
  <c r="DH119" i="1"/>
  <c r="CI119" i="1"/>
  <c r="BJ119" i="1"/>
  <c r="AK119" i="1"/>
  <c r="AH159" i="1"/>
  <c r="T119" i="1"/>
  <c r="T159" i="1" s="1"/>
  <c r="L119" i="1"/>
  <c r="DH118" i="1"/>
  <c r="DF118" i="1"/>
  <c r="CI118" i="1"/>
  <c r="CG118" i="1"/>
  <c r="BJ118" i="1"/>
  <c r="BH118" i="1"/>
  <c r="AK118" i="1"/>
  <c r="T118" i="1"/>
  <c r="T158" i="1" s="1"/>
  <c r="L118" i="1"/>
  <c r="L158" i="1" s="1"/>
  <c r="DH117" i="1"/>
  <c r="DI117" i="1" s="1"/>
  <c r="DF117" i="1"/>
  <c r="CI117" i="1"/>
  <c r="CJ117" i="1" s="1"/>
  <c r="CG117" i="1"/>
  <c r="CH117" i="1" s="1"/>
  <c r="BJ117" i="1"/>
  <c r="BK117" i="1" s="1"/>
  <c r="BH117" i="1"/>
  <c r="BI117" i="1" s="1"/>
  <c r="AK117" i="1"/>
  <c r="AL117" i="1" s="1"/>
  <c r="AH117" i="1"/>
  <c r="O117" i="1" s="1"/>
  <c r="T117" i="1"/>
  <c r="L117" i="1"/>
  <c r="DH116" i="1"/>
  <c r="DI116" i="1" s="1"/>
  <c r="DF116" i="1"/>
  <c r="DG116" i="1" s="1"/>
  <c r="CI116" i="1"/>
  <c r="CJ116" i="1" s="1"/>
  <c r="CG116" i="1"/>
  <c r="BJ116" i="1"/>
  <c r="BK116" i="1" s="1"/>
  <c r="BH116" i="1"/>
  <c r="AK116" i="1"/>
  <c r="AL116" i="1" s="1"/>
  <c r="AI116" i="1"/>
  <c r="AH116" i="1"/>
  <c r="O116" i="1" s="1"/>
  <c r="U116" i="1"/>
  <c r="T116" i="1"/>
  <c r="L116" i="1"/>
  <c r="J116" i="1"/>
  <c r="DH115" i="1"/>
  <c r="DI115" i="1" s="1"/>
  <c r="DF115" i="1"/>
  <c r="DG115" i="1" s="1"/>
  <c r="CI115" i="1"/>
  <c r="CJ115" i="1" s="1"/>
  <c r="CG115" i="1"/>
  <c r="CH115" i="1" s="1"/>
  <c r="BJ115" i="1"/>
  <c r="BK115" i="1" s="1"/>
  <c r="BH115" i="1"/>
  <c r="AK115" i="1"/>
  <c r="AL115" i="1" s="1"/>
  <c r="AI115" i="1"/>
  <c r="AJ115" i="1" s="1"/>
  <c r="AH115" i="1"/>
  <c r="O115" i="1" s="1"/>
  <c r="U115" i="1"/>
  <c r="T115" i="1"/>
  <c r="L115" i="1"/>
  <c r="J115" i="1"/>
  <c r="DH114" i="1"/>
  <c r="DI114" i="1" s="1"/>
  <c r="DF114" i="1"/>
  <c r="CI114" i="1"/>
  <c r="CJ114" i="1" s="1"/>
  <c r="CG114" i="1"/>
  <c r="BJ114" i="1"/>
  <c r="BK114" i="1" s="1"/>
  <c r="BH114" i="1"/>
  <c r="BI114" i="1" s="1"/>
  <c r="AK114" i="1"/>
  <c r="AL114" i="1" s="1"/>
  <c r="AI114" i="1"/>
  <c r="AH114" i="1"/>
  <c r="O114" i="1" s="1"/>
  <c r="U114" i="1"/>
  <c r="T114" i="1"/>
  <c r="L114" i="1"/>
  <c r="J114" i="1"/>
  <c r="DH113" i="1"/>
  <c r="DI113" i="1" s="1"/>
  <c r="DF113" i="1"/>
  <c r="DG113" i="1" s="1"/>
  <c r="CI113" i="1"/>
  <c r="CJ113" i="1" s="1"/>
  <c r="CG113" i="1"/>
  <c r="CH113" i="1" s="1"/>
  <c r="BJ113" i="1"/>
  <c r="BK113" i="1" s="1"/>
  <c r="BH113" i="1"/>
  <c r="AK113" i="1"/>
  <c r="AL113" i="1" s="1"/>
  <c r="AI113" i="1"/>
  <c r="AJ113" i="1" s="1"/>
  <c r="AH113" i="1"/>
  <c r="O113" i="1" s="1"/>
  <c r="U113" i="1"/>
  <c r="T113" i="1"/>
  <c r="L113" i="1"/>
  <c r="J113" i="1"/>
  <c r="DH112" i="1"/>
  <c r="DI112" i="1" s="1"/>
  <c r="DF112" i="1"/>
  <c r="CI112" i="1"/>
  <c r="CJ112" i="1" s="1"/>
  <c r="CG112" i="1"/>
  <c r="BJ112" i="1"/>
  <c r="BK112" i="1" s="1"/>
  <c r="BH112" i="1"/>
  <c r="BI112" i="1" s="1"/>
  <c r="AK112" i="1"/>
  <c r="AL112" i="1" s="1"/>
  <c r="AI112" i="1"/>
  <c r="AH112" i="1"/>
  <c r="O112" i="1" s="1"/>
  <c r="U112" i="1"/>
  <c r="T112" i="1"/>
  <c r="L112" i="1"/>
  <c r="J112" i="1"/>
  <c r="DH111" i="1"/>
  <c r="DI111" i="1" s="1"/>
  <c r="DF111" i="1"/>
  <c r="DG111" i="1" s="1"/>
  <c r="CI111" i="1"/>
  <c r="CJ111" i="1" s="1"/>
  <c r="CG111" i="1"/>
  <c r="CH111" i="1" s="1"/>
  <c r="BJ111" i="1"/>
  <c r="BK111" i="1" s="1"/>
  <c r="BH111" i="1"/>
  <c r="BI111" i="1" s="1"/>
  <c r="AK111" i="1"/>
  <c r="AL111" i="1" s="1"/>
  <c r="AI111" i="1"/>
  <c r="AH111" i="1"/>
  <c r="O111" i="1" s="1"/>
  <c r="U111" i="1"/>
  <c r="T111" i="1"/>
  <c r="L111" i="1"/>
  <c r="J111" i="1"/>
  <c r="DH110" i="1"/>
  <c r="DI110" i="1" s="1"/>
  <c r="DF110" i="1"/>
  <c r="DG110" i="1" s="1"/>
  <c r="CI110" i="1"/>
  <c r="CJ110" i="1" s="1"/>
  <c r="CG110" i="1"/>
  <c r="CH110" i="1" s="1"/>
  <c r="BJ110" i="1"/>
  <c r="BK110" i="1" s="1"/>
  <c r="BH110" i="1"/>
  <c r="BI110" i="1" s="1"/>
  <c r="AK110" i="1"/>
  <c r="AL110" i="1" s="1"/>
  <c r="AI110" i="1"/>
  <c r="AH110" i="1"/>
  <c r="O110" i="1" s="1"/>
  <c r="U110" i="1"/>
  <c r="T110" i="1"/>
  <c r="L110" i="1"/>
  <c r="J110" i="1"/>
  <c r="DH109" i="1"/>
  <c r="DI109" i="1" s="1"/>
  <c r="DF109" i="1"/>
  <c r="CI109" i="1"/>
  <c r="CJ109" i="1" s="1"/>
  <c r="CG109" i="1"/>
  <c r="CH109" i="1" s="1"/>
  <c r="BJ109" i="1"/>
  <c r="BK109" i="1" s="1"/>
  <c r="BH109" i="1"/>
  <c r="BI109" i="1" s="1"/>
  <c r="AK109" i="1"/>
  <c r="AL109" i="1" s="1"/>
  <c r="AI109" i="1"/>
  <c r="AJ109" i="1" s="1"/>
  <c r="AH109" i="1"/>
  <c r="O109" i="1" s="1"/>
  <c r="U109" i="1"/>
  <c r="T109" i="1"/>
  <c r="L109" i="1"/>
  <c r="J109" i="1"/>
  <c r="DH108" i="1"/>
  <c r="DI108" i="1" s="1"/>
  <c r="DF108" i="1"/>
  <c r="DG108" i="1" s="1"/>
  <c r="CI108" i="1"/>
  <c r="CJ108" i="1" s="1"/>
  <c r="CG108" i="1"/>
  <c r="CH108" i="1" s="1"/>
  <c r="BJ108" i="1"/>
  <c r="BK108" i="1" s="1"/>
  <c r="BH108" i="1"/>
  <c r="BI108" i="1" s="1"/>
  <c r="AK108" i="1"/>
  <c r="AL108" i="1" s="1"/>
  <c r="AH108" i="1"/>
  <c r="O108" i="1" s="1"/>
  <c r="T108" i="1"/>
  <c r="L108" i="1"/>
  <c r="DH107" i="1"/>
  <c r="DI107" i="1" s="1"/>
  <c r="DF107" i="1"/>
  <c r="DG107" i="1" s="1"/>
  <c r="CI107" i="1"/>
  <c r="CJ107" i="1" s="1"/>
  <c r="CG107" i="1"/>
  <c r="CH107" i="1" s="1"/>
  <c r="BJ107" i="1"/>
  <c r="BK107" i="1" s="1"/>
  <c r="BH107" i="1"/>
  <c r="BI107" i="1" s="1"/>
  <c r="AK107" i="1"/>
  <c r="AL107" i="1" s="1"/>
  <c r="AI107" i="1"/>
  <c r="AH107" i="1"/>
  <c r="O107" i="1" s="1"/>
  <c r="U107" i="1"/>
  <c r="T107" i="1"/>
  <c r="L107" i="1"/>
  <c r="J107" i="1"/>
  <c r="DH106" i="1"/>
  <c r="DI106" i="1" s="1"/>
  <c r="DF106" i="1"/>
  <c r="DG106" i="1" s="1"/>
  <c r="CI106" i="1"/>
  <c r="CJ106" i="1" s="1"/>
  <c r="CG106" i="1"/>
  <c r="CH106" i="1" s="1"/>
  <c r="BJ106" i="1"/>
  <c r="BK106" i="1" s="1"/>
  <c r="BH106" i="1"/>
  <c r="BI106" i="1" s="1"/>
  <c r="AK106" i="1"/>
  <c r="AL106" i="1" s="1"/>
  <c r="AI106" i="1"/>
  <c r="AH106" i="1"/>
  <c r="O106" i="1" s="1"/>
  <c r="U106" i="1"/>
  <c r="T106" i="1"/>
  <c r="L106" i="1"/>
  <c r="J106" i="1"/>
  <c r="DH105" i="1"/>
  <c r="DI105" i="1" s="1"/>
  <c r="DF105" i="1"/>
  <c r="CI105" i="1"/>
  <c r="CJ105" i="1" s="1"/>
  <c r="CG105" i="1"/>
  <c r="CH105" i="1" s="1"/>
  <c r="BJ105" i="1"/>
  <c r="BK105" i="1" s="1"/>
  <c r="BH105" i="1"/>
  <c r="BI105" i="1" s="1"/>
  <c r="AK105" i="1"/>
  <c r="AL105" i="1" s="1"/>
  <c r="AI105" i="1"/>
  <c r="AJ105" i="1" s="1"/>
  <c r="AH105" i="1"/>
  <c r="O105" i="1" s="1"/>
  <c r="U105" i="1"/>
  <c r="T105" i="1"/>
  <c r="L105" i="1"/>
  <c r="J105" i="1"/>
  <c r="DH104" i="1"/>
  <c r="DI104" i="1" s="1"/>
  <c r="DF104" i="1"/>
  <c r="DG104" i="1" s="1"/>
  <c r="CI104" i="1"/>
  <c r="CJ104" i="1" s="1"/>
  <c r="CG104" i="1"/>
  <c r="CH104" i="1" s="1"/>
  <c r="BJ104" i="1"/>
  <c r="BK104" i="1" s="1"/>
  <c r="BH104" i="1"/>
  <c r="BI104" i="1" s="1"/>
  <c r="AK104" i="1"/>
  <c r="AL104" i="1" s="1"/>
  <c r="AI104" i="1"/>
  <c r="AJ104" i="1" s="1"/>
  <c r="AH104" i="1"/>
  <c r="O104" i="1" s="1"/>
  <c r="U104" i="1"/>
  <c r="T104" i="1"/>
  <c r="L104" i="1"/>
  <c r="J104" i="1"/>
  <c r="DH103" i="1"/>
  <c r="DI103" i="1" s="1"/>
  <c r="DF103" i="1"/>
  <c r="DG103" i="1" s="1"/>
  <c r="CI103" i="1"/>
  <c r="CJ103" i="1" s="1"/>
  <c r="CG103" i="1"/>
  <c r="BJ103" i="1"/>
  <c r="BK103" i="1" s="1"/>
  <c r="BH103" i="1"/>
  <c r="BI103" i="1" s="1"/>
  <c r="AK103" i="1"/>
  <c r="AL103" i="1" s="1"/>
  <c r="AI103" i="1"/>
  <c r="AH103" i="1"/>
  <c r="O103" i="1" s="1"/>
  <c r="U103" i="1"/>
  <c r="T103" i="1"/>
  <c r="L103" i="1"/>
  <c r="J103" i="1"/>
  <c r="DH102" i="1"/>
  <c r="DF102" i="1"/>
  <c r="CI102" i="1"/>
  <c r="CG102" i="1"/>
  <c r="BJ102" i="1"/>
  <c r="BH102" i="1"/>
  <c r="AK102" i="1"/>
  <c r="AH102" i="1"/>
  <c r="O102" i="1" s="1"/>
  <c r="T102" i="1"/>
  <c r="L102" i="1"/>
  <c r="DH101" i="1"/>
  <c r="DI101" i="1" s="1"/>
  <c r="DF101" i="1"/>
  <c r="DG101" i="1" s="1"/>
  <c r="CI101" i="1"/>
  <c r="CJ101" i="1" s="1"/>
  <c r="CG101" i="1"/>
  <c r="CH101" i="1" s="1"/>
  <c r="BJ101" i="1"/>
  <c r="BK101" i="1" s="1"/>
  <c r="BH101" i="1"/>
  <c r="BI101" i="1" s="1"/>
  <c r="AK101" i="1"/>
  <c r="AL101" i="1" s="1"/>
  <c r="AI101" i="1"/>
  <c r="AJ101" i="1" s="1"/>
  <c r="AH101" i="1"/>
  <c r="O101" i="1" s="1"/>
  <c r="U101" i="1"/>
  <c r="T101" i="1"/>
  <c r="L101" i="1"/>
  <c r="J101" i="1"/>
  <c r="DH100" i="1"/>
  <c r="DI100" i="1" s="1"/>
  <c r="DF100" i="1"/>
  <c r="CI100" i="1"/>
  <c r="CJ100" i="1" s="1"/>
  <c r="CG100" i="1"/>
  <c r="CH100" i="1" s="1"/>
  <c r="BJ100" i="1"/>
  <c r="BK100" i="1" s="1"/>
  <c r="BH100" i="1"/>
  <c r="AK100" i="1"/>
  <c r="AL100" i="1" s="1"/>
  <c r="AI100" i="1"/>
  <c r="AJ100" i="1" s="1"/>
  <c r="AH100" i="1"/>
  <c r="O100" i="1" s="1"/>
  <c r="U100" i="1"/>
  <c r="T100" i="1"/>
  <c r="L100" i="1"/>
  <c r="J100" i="1"/>
  <c r="DH99" i="1"/>
  <c r="DI99" i="1" s="1"/>
  <c r="DF99" i="1"/>
  <c r="DG99" i="1" s="1"/>
  <c r="CI99" i="1"/>
  <c r="CJ99" i="1" s="1"/>
  <c r="CG99" i="1"/>
  <c r="CH99" i="1" s="1"/>
  <c r="BJ99" i="1"/>
  <c r="BK99" i="1" s="1"/>
  <c r="BH99" i="1"/>
  <c r="BI99" i="1" s="1"/>
  <c r="AK99" i="1"/>
  <c r="AL99" i="1" s="1"/>
  <c r="AI99" i="1"/>
  <c r="AJ99" i="1" s="1"/>
  <c r="AH99" i="1"/>
  <c r="O99" i="1" s="1"/>
  <c r="U99" i="1"/>
  <c r="L99" i="1"/>
  <c r="J99" i="1"/>
  <c r="DH98" i="1"/>
  <c r="DF98" i="1"/>
  <c r="CI98" i="1"/>
  <c r="CG98" i="1"/>
  <c r="CH98" i="1" s="1"/>
  <c r="BJ98" i="1"/>
  <c r="BH98" i="1"/>
  <c r="AK98" i="1"/>
  <c r="AI98" i="1"/>
  <c r="AH98" i="1"/>
  <c r="O98" i="1" s="1"/>
  <c r="U98" i="1"/>
  <c r="L98" i="1"/>
  <c r="J98" i="1"/>
  <c r="DH97" i="1"/>
  <c r="DF97" i="1"/>
  <c r="CI97" i="1"/>
  <c r="CG97" i="1"/>
  <c r="BJ97" i="1"/>
  <c r="BH97" i="1"/>
  <c r="AK97" i="1"/>
  <c r="AH97" i="1"/>
  <c r="O97" i="1" s="1"/>
  <c r="L97" i="1"/>
  <c r="DH96" i="1"/>
  <c r="CI96" i="1"/>
  <c r="BJ96" i="1"/>
  <c r="BJ133" i="1" s="1"/>
  <c r="AK96" i="1"/>
  <c r="T96" i="1"/>
  <c r="T157" i="1" s="1"/>
  <c r="L96" i="1"/>
  <c r="DH95" i="1"/>
  <c r="DI95" i="1" s="1"/>
  <c r="CI95" i="1"/>
  <c r="CJ95" i="1" s="1"/>
  <c r="BJ95" i="1"/>
  <c r="BK95" i="1" s="1"/>
  <c r="AK95" i="1"/>
  <c r="AL95" i="1" s="1"/>
  <c r="AH95" i="1"/>
  <c r="O95" i="1" s="1"/>
  <c r="T95" i="1"/>
  <c r="L95" i="1"/>
  <c r="DH94" i="1"/>
  <c r="DF94" i="1"/>
  <c r="CI94" i="1"/>
  <c r="CG94" i="1"/>
  <c r="BJ94" i="1"/>
  <c r="BH94" i="1"/>
  <c r="AK94" i="1"/>
  <c r="AI94" i="1"/>
  <c r="AH94" i="1"/>
  <c r="O94" i="1" s="1"/>
  <c r="U94" i="1"/>
  <c r="T94" i="1"/>
  <c r="R94" i="1"/>
  <c r="L94" i="1"/>
  <c r="J94" i="1"/>
  <c r="DH93" i="1"/>
  <c r="DF93" i="1"/>
  <c r="CI93" i="1"/>
  <c r="CG93" i="1"/>
  <c r="BJ93" i="1"/>
  <c r="BH93" i="1"/>
  <c r="AK93" i="1"/>
  <c r="AI93" i="1"/>
  <c r="AH93" i="1"/>
  <c r="O93" i="1" s="1"/>
  <c r="U93" i="1"/>
  <c r="T93" i="1"/>
  <c r="R93" i="1"/>
  <c r="L93" i="1"/>
  <c r="J93" i="1"/>
  <c r="DH92" i="1"/>
  <c r="CI92" i="1"/>
  <c r="BJ92" i="1"/>
  <c r="AK92" i="1"/>
  <c r="AH92" i="1"/>
  <c r="O92" i="1" s="1"/>
  <c r="T92" i="1"/>
  <c r="L92" i="1"/>
  <c r="DH91" i="1"/>
  <c r="CI91" i="1"/>
  <c r="BJ91" i="1"/>
  <c r="AK91" i="1"/>
  <c r="AH91" i="1"/>
  <c r="O91" i="1" s="1"/>
  <c r="T91" i="1"/>
  <c r="L91" i="1"/>
  <c r="DH90" i="1"/>
  <c r="DF90" i="1"/>
  <c r="CI90" i="1"/>
  <c r="CG90" i="1"/>
  <c r="BJ90" i="1"/>
  <c r="BH90" i="1"/>
  <c r="AK90" i="1"/>
  <c r="AH90" i="1"/>
  <c r="O90" i="1" s="1"/>
  <c r="T90" i="1"/>
  <c r="L90" i="1"/>
  <c r="DH89" i="1"/>
  <c r="DF89" i="1"/>
  <c r="CI89" i="1"/>
  <c r="CG89" i="1"/>
  <c r="BJ89" i="1"/>
  <c r="BH89" i="1"/>
  <c r="AK89" i="1"/>
  <c r="AH89" i="1"/>
  <c r="O89" i="1" s="1"/>
  <c r="T89" i="1"/>
  <c r="L89" i="1"/>
  <c r="DH88" i="1"/>
  <c r="DF88" i="1"/>
  <c r="CI88" i="1"/>
  <c r="CG88" i="1"/>
  <c r="BJ88" i="1"/>
  <c r="BH88" i="1"/>
  <c r="AK88" i="1"/>
  <c r="AH88" i="1"/>
  <c r="O88" i="1" s="1"/>
  <c r="T88" i="1"/>
  <c r="L88" i="1"/>
  <c r="DH87" i="1"/>
  <c r="DF87" i="1"/>
  <c r="CI87" i="1"/>
  <c r="CG87" i="1"/>
  <c r="BJ87" i="1"/>
  <c r="BH87" i="1"/>
  <c r="AK87" i="1"/>
  <c r="AH87" i="1"/>
  <c r="O87" i="1" s="1"/>
  <c r="T87" i="1"/>
  <c r="L87" i="1"/>
  <c r="DH86" i="1"/>
  <c r="DF86" i="1"/>
  <c r="CI86" i="1"/>
  <c r="CG86" i="1"/>
  <c r="BJ86" i="1"/>
  <c r="BH86" i="1"/>
  <c r="AK86" i="1"/>
  <c r="AH86" i="1"/>
  <c r="O86" i="1" s="1"/>
  <c r="T86" i="1"/>
  <c r="L86" i="1"/>
  <c r="DH85" i="1"/>
  <c r="CI85" i="1"/>
  <c r="BJ85" i="1"/>
  <c r="AK85" i="1"/>
  <c r="AH85" i="1"/>
  <c r="O85" i="1" s="1"/>
  <c r="T85" i="1"/>
  <c r="L85" i="1"/>
  <c r="DH83" i="1"/>
  <c r="DF83" i="1"/>
  <c r="CI83" i="1"/>
  <c r="CG83" i="1"/>
  <c r="BJ83" i="1"/>
  <c r="BH83" i="1"/>
  <c r="AK83" i="1"/>
  <c r="AI83" i="1"/>
  <c r="AH83" i="1"/>
  <c r="O83" i="1" s="1"/>
  <c r="U83" i="1"/>
  <c r="T83" i="1"/>
  <c r="L83" i="1"/>
  <c r="J83" i="1"/>
  <c r="DH82" i="1"/>
  <c r="DF82" i="1"/>
  <c r="CI82" i="1"/>
  <c r="CG82" i="1"/>
  <c r="BJ82" i="1"/>
  <c r="BH82" i="1"/>
  <c r="AK82" i="1"/>
  <c r="AI82" i="1"/>
  <c r="T82" i="1"/>
  <c r="N82" i="1"/>
  <c r="DH81" i="1"/>
  <c r="DF81" i="1"/>
  <c r="CI81" i="1"/>
  <c r="CG81" i="1"/>
  <c r="BJ81" i="1"/>
  <c r="BH81" i="1"/>
  <c r="AK81" i="1"/>
  <c r="AH81" i="1"/>
  <c r="O81" i="1" s="1"/>
  <c r="T81" i="1"/>
  <c r="L81" i="1"/>
  <c r="DH80" i="1"/>
  <c r="DF80" i="1"/>
  <c r="CI80" i="1"/>
  <c r="CG80" i="1"/>
  <c r="BJ80" i="1"/>
  <c r="BH80" i="1"/>
  <c r="AK80" i="1"/>
  <c r="AI80" i="1"/>
  <c r="AH80" i="1"/>
  <c r="O80" i="1" s="1"/>
  <c r="U80" i="1"/>
  <c r="T80" i="1"/>
  <c r="L80" i="1"/>
  <c r="J80" i="1"/>
  <c r="DH78" i="1"/>
  <c r="CI78" i="1"/>
  <c r="BJ78" i="1"/>
  <c r="AK78" i="1"/>
  <c r="AH78" i="1"/>
  <c r="O78" i="1" s="1"/>
  <c r="T78" i="1"/>
  <c r="L78" i="1"/>
  <c r="DH77" i="1"/>
  <c r="DF77" i="1"/>
  <c r="CI77" i="1"/>
  <c r="CG77" i="1"/>
  <c r="BJ77" i="1"/>
  <c r="BH77" i="1"/>
  <c r="AK77" i="1"/>
  <c r="AI77" i="1"/>
  <c r="AH77" i="1"/>
  <c r="O77" i="1" s="1"/>
  <c r="U77" i="1"/>
  <c r="T77" i="1"/>
  <c r="L77" i="1"/>
  <c r="J77" i="1"/>
  <c r="DH76" i="1"/>
  <c r="CI76" i="1"/>
  <c r="BJ76" i="1"/>
  <c r="AK76" i="1"/>
  <c r="AH76" i="1"/>
  <c r="O76" i="1" s="1"/>
  <c r="T76" i="1"/>
  <c r="L76" i="1"/>
  <c r="DH75" i="1"/>
  <c r="DF75" i="1"/>
  <c r="CI75" i="1"/>
  <c r="CG75" i="1"/>
  <c r="BJ75" i="1"/>
  <c r="BH75" i="1"/>
  <c r="AK75" i="1"/>
  <c r="AH75" i="1"/>
  <c r="O75" i="1" s="1"/>
  <c r="T75" i="1"/>
  <c r="L75" i="1"/>
  <c r="DH74" i="1"/>
  <c r="DF74" i="1"/>
  <c r="CI74" i="1"/>
  <c r="CG74" i="1"/>
  <c r="BJ74" i="1"/>
  <c r="BH74" i="1"/>
  <c r="AK74" i="1"/>
  <c r="AI74" i="1"/>
  <c r="AH74" i="1"/>
  <c r="O74" i="1" s="1"/>
  <c r="U74" i="1"/>
  <c r="T74" i="1"/>
  <c r="L74" i="1"/>
  <c r="J74" i="1"/>
  <c r="DH73" i="1"/>
  <c r="DF73" i="1"/>
  <c r="CI73" i="1"/>
  <c r="CG73" i="1"/>
  <c r="BJ73" i="1"/>
  <c r="BH73" i="1"/>
  <c r="AK73" i="1"/>
  <c r="AI73" i="1"/>
  <c r="AH73" i="1"/>
  <c r="O73" i="1" s="1"/>
  <c r="U73" i="1"/>
  <c r="T73" i="1"/>
  <c r="L73" i="1"/>
  <c r="J73" i="1"/>
  <c r="DH72" i="1"/>
  <c r="DF72" i="1"/>
  <c r="CI72" i="1"/>
  <c r="CG72" i="1"/>
  <c r="BJ72" i="1"/>
  <c r="BH72" i="1"/>
  <c r="AK72" i="1"/>
  <c r="AI72" i="1"/>
  <c r="AH72" i="1"/>
  <c r="O72" i="1" s="1"/>
  <c r="U72" i="1"/>
  <c r="T72" i="1"/>
  <c r="L72" i="1"/>
  <c r="J72" i="1"/>
  <c r="DH71" i="1"/>
  <c r="DF71" i="1"/>
  <c r="CI71" i="1"/>
  <c r="CG71" i="1"/>
  <c r="BJ71" i="1"/>
  <c r="BH71" i="1"/>
  <c r="AK71" i="1"/>
  <c r="AI71" i="1"/>
  <c r="AH71" i="1"/>
  <c r="O71" i="1" s="1"/>
  <c r="U71" i="1"/>
  <c r="T71" i="1"/>
  <c r="L71" i="1"/>
  <c r="J71" i="1"/>
  <c r="DH70" i="1"/>
  <c r="DF70" i="1"/>
  <c r="CI70" i="1"/>
  <c r="CG70" i="1"/>
  <c r="BJ70" i="1"/>
  <c r="BH70" i="1"/>
  <c r="AK70" i="1"/>
  <c r="AH70" i="1"/>
  <c r="O70" i="1" s="1"/>
  <c r="T70" i="1"/>
  <c r="L70" i="1"/>
  <c r="DH69" i="1"/>
  <c r="DF69" i="1"/>
  <c r="CI69" i="1"/>
  <c r="CG69" i="1"/>
  <c r="BJ69" i="1"/>
  <c r="BH69" i="1"/>
  <c r="AK69" i="1"/>
  <c r="AI69" i="1"/>
  <c r="AH69" i="1"/>
  <c r="O69" i="1" s="1"/>
  <c r="U69" i="1"/>
  <c r="T69" i="1"/>
  <c r="L69" i="1"/>
  <c r="J69" i="1"/>
  <c r="DH68" i="1"/>
  <c r="DF68" i="1"/>
  <c r="CI68" i="1"/>
  <c r="CG68" i="1"/>
  <c r="BJ68" i="1"/>
  <c r="BH68" i="1"/>
  <c r="AK68" i="1"/>
  <c r="AI68" i="1"/>
  <c r="AH68" i="1"/>
  <c r="O68" i="1" s="1"/>
  <c r="U68" i="1"/>
  <c r="T68" i="1"/>
  <c r="L68" i="1"/>
  <c r="J68" i="1"/>
  <c r="DH67" i="1"/>
  <c r="DF67" i="1"/>
  <c r="CI67" i="1"/>
  <c r="CG67" i="1"/>
  <c r="BJ67" i="1"/>
  <c r="BH67" i="1"/>
  <c r="AK67" i="1"/>
  <c r="AI67" i="1"/>
  <c r="AH67" i="1"/>
  <c r="O67" i="1" s="1"/>
  <c r="U67" i="1"/>
  <c r="T67" i="1"/>
  <c r="L67" i="1"/>
  <c r="J67" i="1"/>
  <c r="DH66" i="1"/>
  <c r="DF66" i="1"/>
  <c r="CI66" i="1"/>
  <c r="CG66" i="1"/>
  <c r="BJ66" i="1"/>
  <c r="BH66" i="1"/>
  <c r="AK66" i="1"/>
  <c r="AH66" i="1"/>
  <c r="O66" i="1" s="1"/>
  <c r="T66" i="1"/>
  <c r="L66" i="1"/>
  <c r="DH65" i="1"/>
  <c r="DF65" i="1"/>
  <c r="CI65" i="1"/>
  <c r="CG65" i="1"/>
  <c r="BJ65" i="1"/>
  <c r="BH65" i="1"/>
  <c r="AK65" i="1"/>
  <c r="AH65" i="1"/>
  <c r="O65" i="1" s="1"/>
  <c r="T65" i="1"/>
  <c r="L65" i="1"/>
  <c r="M84" i="1" s="1"/>
  <c r="DH64" i="1"/>
  <c r="CI64" i="1"/>
  <c r="BJ64" i="1"/>
  <c r="AK64" i="1"/>
  <c r="AH64" i="1"/>
  <c r="O64" i="1" s="1"/>
  <c r="T64" i="1"/>
  <c r="L64" i="1"/>
  <c r="DH63" i="1"/>
  <c r="CI63" i="1"/>
  <c r="BJ63" i="1"/>
  <c r="AK63" i="1"/>
  <c r="AH63" i="1"/>
  <c r="O63" i="1" s="1"/>
  <c r="T63" i="1"/>
  <c r="L63" i="1"/>
  <c r="DH62" i="1"/>
  <c r="DF62" i="1"/>
  <c r="CI62" i="1"/>
  <c r="CG62" i="1"/>
  <c r="BJ62" i="1"/>
  <c r="BH62" i="1"/>
  <c r="AK62" i="1"/>
  <c r="AH62" i="1"/>
  <c r="O62" i="1" s="1"/>
  <c r="T62" i="1"/>
  <c r="L62" i="1"/>
  <c r="DH61" i="1"/>
  <c r="DF61" i="1"/>
  <c r="CI61" i="1"/>
  <c r="CG61" i="1"/>
  <c r="BJ61" i="1"/>
  <c r="BH61" i="1"/>
  <c r="AK61" i="1"/>
  <c r="AH61" i="1"/>
  <c r="O61" i="1" s="1"/>
  <c r="T61" i="1"/>
  <c r="L61" i="1"/>
  <c r="DH60" i="1"/>
  <c r="DF60" i="1"/>
  <c r="CI60" i="1"/>
  <c r="CG60" i="1"/>
  <c r="BJ60" i="1"/>
  <c r="BH60" i="1"/>
  <c r="AK60" i="1"/>
  <c r="AH60" i="1"/>
  <c r="O60" i="1" s="1"/>
  <c r="T60" i="1"/>
  <c r="L60" i="1"/>
  <c r="DH59" i="1"/>
  <c r="DF59" i="1"/>
  <c r="CI59" i="1"/>
  <c r="CG59" i="1"/>
  <c r="BJ59" i="1"/>
  <c r="BH59" i="1"/>
  <c r="AK59" i="1"/>
  <c r="AH59" i="1"/>
  <c r="O59" i="1" s="1"/>
  <c r="T59" i="1"/>
  <c r="L59" i="1"/>
  <c r="DH58" i="1"/>
  <c r="DF58" i="1"/>
  <c r="CI58" i="1"/>
  <c r="CG58" i="1"/>
  <c r="BJ58" i="1"/>
  <c r="BH58" i="1"/>
  <c r="AK58" i="1"/>
  <c r="AH58" i="1"/>
  <c r="O58" i="1" s="1"/>
  <c r="T58" i="1"/>
  <c r="L58" i="1"/>
  <c r="DH57" i="1"/>
  <c r="CI57" i="1"/>
  <c r="BJ57" i="1"/>
  <c r="AK57" i="1"/>
  <c r="AH57" i="1"/>
  <c r="O57" i="1" s="1"/>
  <c r="T57" i="1"/>
  <c r="L57" i="1"/>
  <c r="DH56" i="1"/>
  <c r="DF56" i="1"/>
  <c r="CI56" i="1"/>
  <c r="CG56" i="1"/>
  <c r="BJ56" i="1"/>
  <c r="BH56" i="1"/>
  <c r="AK56" i="1"/>
  <c r="AI56" i="1"/>
  <c r="AH56" i="1"/>
  <c r="O56" i="1" s="1"/>
  <c r="U56" i="1"/>
  <c r="T56" i="1"/>
  <c r="L56" i="1"/>
  <c r="J56" i="1"/>
  <c r="DH55" i="1"/>
  <c r="DF55" i="1"/>
  <c r="CI55" i="1"/>
  <c r="CG55" i="1"/>
  <c r="BJ55" i="1"/>
  <c r="BH55" i="1"/>
  <c r="AK55" i="1"/>
  <c r="AI55" i="1"/>
  <c r="AH55" i="1"/>
  <c r="O55" i="1" s="1"/>
  <c r="U55" i="1"/>
  <c r="T55" i="1"/>
  <c r="L55" i="1"/>
  <c r="J55" i="1"/>
  <c r="DH54" i="1"/>
  <c r="CI54" i="1"/>
  <c r="BJ54" i="1"/>
  <c r="AK54" i="1"/>
  <c r="AH54" i="1"/>
  <c r="O54" i="1" s="1"/>
  <c r="T54" i="1"/>
  <c r="L54" i="1"/>
  <c r="DH53" i="1"/>
  <c r="CI53" i="1"/>
  <c r="BJ53" i="1"/>
  <c r="AK53" i="1"/>
  <c r="AH53" i="1"/>
  <c r="O53" i="1" s="1"/>
  <c r="L53" i="1"/>
  <c r="DH52" i="1"/>
  <c r="DF52" i="1"/>
  <c r="CI52" i="1"/>
  <c r="CG52" i="1"/>
  <c r="BJ52" i="1"/>
  <c r="BH52" i="1"/>
  <c r="AK52" i="1"/>
  <c r="AI52" i="1"/>
  <c r="AH52" i="1"/>
  <c r="O52" i="1" s="1"/>
  <c r="U52" i="1"/>
  <c r="T52" i="1"/>
  <c r="L52" i="1"/>
  <c r="J52" i="1"/>
  <c r="DH51" i="1"/>
  <c r="DF51" i="1"/>
  <c r="CI51" i="1"/>
  <c r="CG51" i="1"/>
  <c r="BJ51" i="1"/>
  <c r="BH51" i="1"/>
  <c r="AK51" i="1"/>
  <c r="AH51" i="1"/>
  <c r="O51" i="1" s="1"/>
  <c r="T51" i="1"/>
  <c r="L51" i="1"/>
  <c r="DH50" i="1"/>
  <c r="DF50" i="1"/>
  <c r="CI50" i="1"/>
  <c r="CG50" i="1"/>
  <c r="BJ50" i="1"/>
  <c r="BH50" i="1"/>
  <c r="AK50" i="1"/>
  <c r="AI50" i="1"/>
  <c r="AH50" i="1"/>
  <c r="O50" i="1" s="1"/>
  <c r="U50" i="1"/>
  <c r="L50" i="1"/>
  <c r="J50" i="1"/>
  <c r="DH49" i="1"/>
  <c r="DF49" i="1"/>
  <c r="CI49" i="1"/>
  <c r="CG49" i="1"/>
  <c r="BJ49" i="1"/>
  <c r="BH49" i="1"/>
  <c r="AK49" i="1"/>
  <c r="AI49" i="1"/>
  <c r="AH49" i="1"/>
  <c r="O49" i="1" s="1"/>
  <c r="U49" i="1"/>
  <c r="T49" i="1"/>
  <c r="L49" i="1"/>
  <c r="J49" i="1"/>
  <c r="DH48" i="1"/>
  <c r="DF48" i="1"/>
  <c r="CI48" i="1"/>
  <c r="CG48" i="1"/>
  <c r="BJ48" i="1"/>
  <c r="BH48" i="1"/>
  <c r="AK48" i="1"/>
  <c r="AI48" i="1"/>
  <c r="AH48" i="1"/>
  <c r="O48" i="1" s="1"/>
  <c r="U48" i="1"/>
  <c r="L48" i="1"/>
  <c r="J48" i="1"/>
  <c r="DH47" i="1"/>
  <c r="DF47" i="1"/>
  <c r="CI47" i="1"/>
  <c r="CG47" i="1"/>
  <c r="BJ47" i="1"/>
  <c r="BH47" i="1"/>
  <c r="AK47" i="1"/>
  <c r="AI47" i="1"/>
  <c r="AH47" i="1"/>
  <c r="O47" i="1" s="1"/>
  <c r="U47" i="1"/>
  <c r="T47" i="1"/>
  <c r="L47" i="1"/>
  <c r="J47" i="1"/>
  <c r="DH46" i="1"/>
  <c r="DF46" i="1"/>
  <c r="CI46" i="1"/>
  <c r="CG46" i="1"/>
  <c r="BJ46" i="1"/>
  <c r="BH46" i="1"/>
  <c r="AK46" i="1"/>
  <c r="AI46" i="1"/>
  <c r="AH46" i="1"/>
  <c r="O46" i="1" s="1"/>
  <c r="U46" i="1"/>
  <c r="L46" i="1"/>
  <c r="J46" i="1"/>
  <c r="DH45" i="1"/>
  <c r="CI45" i="1"/>
  <c r="BJ45" i="1"/>
  <c r="AK45" i="1"/>
  <c r="AH45" i="1"/>
  <c r="O45" i="1" s="1"/>
  <c r="T45" i="1"/>
  <c r="L45" i="1"/>
  <c r="DH44" i="1"/>
  <c r="DF44" i="1"/>
  <c r="CI44" i="1"/>
  <c r="CG44" i="1"/>
  <c r="BJ44" i="1"/>
  <c r="BH44" i="1"/>
  <c r="AK44" i="1"/>
  <c r="AI44" i="1"/>
  <c r="AH44" i="1"/>
  <c r="O44" i="1" s="1"/>
  <c r="U44" i="1"/>
  <c r="T44" i="1"/>
  <c r="L44" i="1"/>
  <c r="J44" i="1"/>
  <c r="DH43" i="1"/>
  <c r="DF43" i="1"/>
  <c r="CI43" i="1"/>
  <c r="CG43" i="1"/>
  <c r="BJ43" i="1"/>
  <c r="BH43" i="1"/>
  <c r="AK43" i="1"/>
  <c r="AI43" i="1"/>
  <c r="AH43" i="1"/>
  <c r="O43" i="1" s="1"/>
  <c r="U43" i="1"/>
  <c r="T43" i="1"/>
  <c r="L43" i="1"/>
  <c r="J43" i="1"/>
  <c r="DH42" i="1"/>
  <c r="DF42" i="1"/>
  <c r="CI42" i="1"/>
  <c r="CG42" i="1"/>
  <c r="BJ42" i="1"/>
  <c r="BH42" i="1"/>
  <c r="AK42" i="1"/>
  <c r="AI42" i="1"/>
  <c r="AH42" i="1"/>
  <c r="O42" i="1" s="1"/>
  <c r="U42" i="1"/>
  <c r="T42" i="1"/>
  <c r="L42" i="1"/>
  <c r="J42" i="1"/>
  <c r="DH41" i="1"/>
  <c r="DF41" i="1"/>
  <c r="CI41" i="1"/>
  <c r="CG41" i="1"/>
  <c r="BJ41" i="1"/>
  <c r="BH41" i="1"/>
  <c r="AK41" i="1"/>
  <c r="AH41" i="1"/>
  <c r="O41" i="1" s="1"/>
  <c r="T41" i="1"/>
  <c r="L41" i="1"/>
  <c r="DH40" i="1"/>
  <c r="DF40" i="1"/>
  <c r="CI40" i="1"/>
  <c r="CG40" i="1"/>
  <c r="BJ40" i="1"/>
  <c r="BH40" i="1"/>
  <c r="AK40" i="1"/>
  <c r="AH40" i="1"/>
  <c r="O40" i="1" s="1"/>
  <c r="L40" i="1"/>
  <c r="DH39" i="1"/>
  <c r="DF39" i="1"/>
  <c r="CI39" i="1"/>
  <c r="CG39" i="1"/>
  <c r="BJ39" i="1"/>
  <c r="BH39" i="1"/>
  <c r="AK39" i="1"/>
  <c r="AI39" i="1"/>
  <c r="AH39" i="1"/>
  <c r="O39" i="1" s="1"/>
  <c r="U39" i="1"/>
  <c r="L39" i="1"/>
  <c r="J39" i="1"/>
  <c r="DH38" i="1"/>
  <c r="CI38" i="1"/>
  <c r="BJ38" i="1"/>
  <c r="AK38" i="1"/>
  <c r="AH38" i="1"/>
  <c r="O38" i="1" s="1"/>
  <c r="T38" i="1"/>
  <c r="L38" i="1"/>
  <c r="DH37" i="1"/>
  <c r="CI37" i="1"/>
  <c r="BJ37" i="1"/>
  <c r="AK37" i="1"/>
  <c r="AH37" i="1"/>
  <c r="O37" i="1" s="1"/>
  <c r="T37" i="1"/>
  <c r="L37" i="1"/>
  <c r="DH36" i="1"/>
  <c r="DF36" i="1"/>
  <c r="CI36" i="1"/>
  <c r="CG36" i="1"/>
  <c r="BJ36" i="1"/>
  <c r="BH36" i="1"/>
  <c r="AK36" i="1"/>
  <c r="AH36" i="1"/>
  <c r="O36" i="1" s="1"/>
  <c r="T36" i="1"/>
  <c r="L36" i="1"/>
  <c r="DH35" i="1"/>
  <c r="DF35" i="1"/>
  <c r="CI35" i="1"/>
  <c r="CG35" i="1"/>
  <c r="BJ35" i="1"/>
  <c r="BH35" i="1"/>
  <c r="AK35" i="1"/>
  <c r="AH35" i="1"/>
  <c r="O35" i="1" s="1"/>
  <c r="T35" i="1"/>
  <c r="L35" i="1"/>
  <c r="DH34" i="1"/>
  <c r="DF34" i="1"/>
  <c r="CI34" i="1"/>
  <c r="CG34" i="1"/>
  <c r="BJ34" i="1"/>
  <c r="BH34" i="1"/>
  <c r="AK34" i="1"/>
  <c r="AH34" i="1"/>
  <c r="O34" i="1" s="1"/>
  <c r="T34" i="1"/>
  <c r="L34" i="1"/>
  <c r="DH33" i="1"/>
  <c r="DF33" i="1"/>
  <c r="CI33" i="1"/>
  <c r="CG33" i="1"/>
  <c r="BJ33" i="1"/>
  <c r="BH33" i="1"/>
  <c r="AK33" i="1"/>
  <c r="AH33" i="1"/>
  <c r="O33" i="1" s="1"/>
  <c r="T33" i="1"/>
  <c r="L33" i="1"/>
  <c r="DH32" i="1"/>
  <c r="DF32" i="1"/>
  <c r="CI32" i="1"/>
  <c r="CG32" i="1"/>
  <c r="BJ32" i="1"/>
  <c r="BH32" i="1"/>
  <c r="AK32" i="1"/>
  <c r="AI32" i="1"/>
  <c r="AH32" i="1"/>
  <c r="O32" i="1" s="1"/>
  <c r="U32" i="1"/>
  <c r="T32" i="1"/>
  <c r="L32" i="1"/>
  <c r="J32" i="1"/>
  <c r="DH31" i="1"/>
  <c r="CI31" i="1"/>
  <c r="BJ31" i="1"/>
  <c r="AK31" i="1"/>
  <c r="AH31" i="1"/>
  <c r="O31" i="1" s="1"/>
  <c r="T31" i="1"/>
  <c r="L31" i="1"/>
  <c r="DH30" i="1"/>
  <c r="DF30" i="1"/>
  <c r="CI30" i="1"/>
  <c r="CG30" i="1"/>
  <c r="BJ30" i="1"/>
  <c r="BH30" i="1"/>
  <c r="AK30" i="1"/>
  <c r="AH30" i="1"/>
  <c r="O30" i="1" s="1"/>
  <c r="T30" i="1"/>
  <c r="L30" i="1"/>
  <c r="DH29" i="1"/>
  <c r="DF29" i="1"/>
  <c r="CI29" i="1"/>
  <c r="CG29" i="1"/>
  <c r="BJ29" i="1"/>
  <c r="BH29" i="1"/>
  <c r="AK29" i="1"/>
  <c r="AH29" i="1"/>
  <c r="O29" i="1" s="1"/>
  <c r="T29" i="1"/>
  <c r="L29" i="1"/>
  <c r="DH28" i="1"/>
  <c r="DF28" i="1"/>
  <c r="CI28" i="1"/>
  <c r="CG28" i="1"/>
  <c r="BJ28" i="1"/>
  <c r="BH28" i="1"/>
  <c r="AK28" i="1"/>
  <c r="AH28" i="1"/>
  <c r="O28" i="1" s="1"/>
  <c r="T28" i="1"/>
  <c r="L28" i="1"/>
  <c r="DH27" i="1"/>
  <c r="DF27" i="1"/>
  <c r="CI27" i="1"/>
  <c r="CG27" i="1"/>
  <c r="BJ27" i="1"/>
  <c r="BH27" i="1"/>
  <c r="AK27" i="1"/>
  <c r="AH27" i="1"/>
  <c r="O27" i="1" s="1"/>
  <c r="T27" i="1"/>
  <c r="L27" i="1"/>
  <c r="DH26" i="1"/>
  <c r="DF26" i="1"/>
  <c r="CI26" i="1"/>
  <c r="CG26" i="1"/>
  <c r="BJ26" i="1"/>
  <c r="BH26" i="1"/>
  <c r="AK26" i="1"/>
  <c r="AH26" i="1"/>
  <c r="O26" i="1" s="1"/>
  <c r="T26" i="1"/>
  <c r="L26" i="1"/>
  <c r="DH25" i="1"/>
  <c r="DF25" i="1"/>
  <c r="CI25" i="1"/>
  <c r="CG25" i="1"/>
  <c r="BJ25" i="1"/>
  <c r="BH25" i="1"/>
  <c r="AK25" i="1"/>
  <c r="AH25" i="1"/>
  <c r="O25" i="1" s="1"/>
  <c r="T25" i="1"/>
  <c r="L25" i="1"/>
  <c r="DH24" i="1"/>
  <c r="DF24" i="1"/>
  <c r="CI24" i="1"/>
  <c r="CG24" i="1"/>
  <c r="BJ24" i="1"/>
  <c r="BH24" i="1"/>
  <c r="AK24" i="1"/>
  <c r="AH24" i="1"/>
  <c r="O24" i="1" s="1"/>
  <c r="T24" i="1"/>
  <c r="L24" i="1"/>
  <c r="DH23" i="1"/>
  <c r="DF23" i="1"/>
  <c r="CI23" i="1"/>
  <c r="CG23" i="1"/>
  <c r="BJ23" i="1"/>
  <c r="BH23" i="1"/>
  <c r="AK23" i="1"/>
  <c r="AH23" i="1"/>
  <c r="O23" i="1" s="1"/>
  <c r="T23" i="1"/>
  <c r="L23" i="1"/>
  <c r="DH22" i="1"/>
  <c r="DF22" i="1"/>
  <c r="CI22" i="1"/>
  <c r="CG22" i="1"/>
  <c r="BJ22" i="1"/>
  <c r="BH22" i="1"/>
  <c r="AK22" i="1"/>
  <c r="AH22" i="1"/>
  <c r="O22" i="1" s="1"/>
  <c r="T22" i="1"/>
  <c r="L22" i="1"/>
  <c r="DH21" i="1"/>
  <c r="DF21" i="1"/>
  <c r="CI21" i="1"/>
  <c r="CG21" i="1"/>
  <c r="BJ21" i="1"/>
  <c r="BH21" i="1"/>
  <c r="AK21" i="1"/>
  <c r="AI21" i="1"/>
  <c r="AH21" i="1"/>
  <c r="O21" i="1" s="1"/>
  <c r="U21" i="1"/>
  <c r="L21" i="1"/>
  <c r="J21" i="1"/>
  <c r="DH20" i="1"/>
  <c r="DH146" i="1" s="1"/>
  <c r="DF20" i="1"/>
  <c r="DF146" i="1" s="1"/>
  <c r="CI20" i="1"/>
  <c r="CI146" i="1" s="1"/>
  <c r="CG20" i="1"/>
  <c r="CG146" i="1" s="1"/>
  <c r="BJ20" i="1"/>
  <c r="BJ146" i="1" s="1"/>
  <c r="BH20" i="1"/>
  <c r="BH146" i="1" s="1"/>
  <c r="AK20" i="1"/>
  <c r="AK146" i="1" s="1"/>
  <c r="AI20" i="1"/>
  <c r="AI146" i="1" s="1"/>
  <c r="AH20" i="1"/>
  <c r="O20" i="1" s="1"/>
  <c r="U20" i="1"/>
  <c r="L20" i="1"/>
  <c r="J20" i="1"/>
  <c r="DH19" i="1"/>
  <c r="DF19" i="1"/>
  <c r="CI19" i="1"/>
  <c r="CG19" i="1"/>
  <c r="BJ19" i="1"/>
  <c r="BH19" i="1"/>
  <c r="AK19" i="1"/>
  <c r="AI19" i="1"/>
  <c r="AH19" i="1"/>
  <c r="O19" i="1" s="1"/>
  <c r="U19" i="1"/>
  <c r="L19" i="1"/>
  <c r="J19" i="1"/>
  <c r="DH18" i="1"/>
  <c r="DF18" i="1"/>
  <c r="CI18" i="1"/>
  <c r="CG18" i="1"/>
  <c r="BJ18" i="1"/>
  <c r="BH18" i="1"/>
  <c r="AK18" i="1"/>
  <c r="AI18" i="1"/>
  <c r="AH18" i="1"/>
  <c r="O18" i="1" s="1"/>
  <c r="U18" i="1"/>
  <c r="L18" i="1"/>
  <c r="J18" i="1"/>
  <c r="DH17" i="1"/>
  <c r="DF17" i="1"/>
  <c r="CI17" i="1"/>
  <c r="CG17" i="1"/>
  <c r="BJ17" i="1"/>
  <c r="BH17" i="1"/>
  <c r="AK17" i="1"/>
  <c r="AI17" i="1"/>
  <c r="AH17" i="1"/>
  <c r="O17" i="1" s="1"/>
  <c r="U17" i="1"/>
  <c r="L17" i="1"/>
  <c r="J17" i="1"/>
  <c r="DH16" i="1"/>
  <c r="DF16" i="1"/>
  <c r="CI16" i="1"/>
  <c r="CG16" i="1"/>
  <c r="BJ16" i="1"/>
  <c r="BH16" i="1"/>
  <c r="AK16" i="1"/>
  <c r="AI16" i="1"/>
  <c r="AH16" i="1"/>
  <c r="O16" i="1" s="1"/>
  <c r="U16" i="1"/>
  <c r="L16" i="1"/>
  <c r="J16" i="1"/>
  <c r="DH15" i="1"/>
  <c r="DH148" i="1" s="1"/>
  <c r="DF15" i="1"/>
  <c r="DF148" i="1" s="1"/>
  <c r="CI15" i="1"/>
  <c r="CI148" i="1" s="1"/>
  <c r="CG15" i="1"/>
  <c r="CG148" i="1" s="1"/>
  <c r="BJ15" i="1"/>
  <c r="BJ148" i="1" s="1"/>
  <c r="BH15" i="1"/>
  <c r="BH148" i="1" s="1"/>
  <c r="AK15" i="1"/>
  <c r="AK148" i="1" s="1"/>
  <c r="AI15" i="1"/>
  <c r="AI148" i="1" s="1"/>
  <c r="AH15" i="1"/>
  <c r="O15" i="1" s="1"/>
  <c r="U15" i="1"/>
  <c r="L15" i="1"/>
  <c r="J15" i="1"/>
  <c r="DH14" i="1"/>
  <c r="DF14" i="1"/>
  <c r="CI14" i="1"/>
  <c r="CG14" i="1"/>
  <c r="BJ14" i="1"/>
  <c r="BH14" i="1"/>
  <c r="AK14" i="1"/>
  <c r="AI14" i="1"/>
  <c r="AH14" i="1"/>
  <c r="O14" i="1" s="1"/>
  <c r="U14" i="1"/>
  <c r="L14" i="1"/>
  <c r="J14" i="1"/>
  <c r="DH13" i="1"/>
  <c r="DF13" i="1"/>
  <c r="CI13" i="1"/>
  <c r="CG13" i="1"/>
  <c r="BJ13" i="1"/>
  <c r="BH13" i="1"/>
  <c r="AK13" i="1"/>
  <c r="AI13" i="1"/>
  <c r="AH13" i="1"/>
  <c r="O13" i="1" s="1"/>
  <c r="U13" i="1"/>
  <c r="L13" i="1"/>
  <c r="J13" i="1"/>
  <c r="DH12" i="1"/>
  <c r="DF12" i="1"/>
  <c r="CI12" i="1"/>
  <c r="CG12" i="1"/>
  <c r="BJ12" i="1"/>
  <c r="BH12" i="1"/>
  <c r="AK12" i="1"/>
  <c r="AI12" i="1"/>
  <c r="AH12" i="1"/>
  <c r="O12" i="1" s="1"/>
  <c r="U12" i="1"/>
  <c r="L12" i="1"/>
  <c r="J12" i="1"/>
  <c r="DH11" i="1"/>
  <c r="DF11" i="1"/>
  <c r="CI11" i="1"/>
  <c r="CG11" i="1"/>
  <c r="BJ11" i="1"/>
  <c r="BH11" i="1"/>
  <c r="AK11" i="1"/>
  <c r="AI11" i="1"/>
  <c r="AH11" i="1"/>
  <c r="O11" i="1" s="1"/>
  <c r="U11" i="1"/>
  <c r="L11" i="1"/>
  <c r="J11" i="1"/>
  <c r="DH10" i="1"/>
  <c r="DF10" i="1"/>
  <c r="CI10" i="1"/>
  <c r="CG10" i="1"/>
  <c r="BJ10" i="1"/>
  <c r="BH10" i="1"/>
  <c r="AK10" i="1"/>
  <c r="AI10" i="1"/>
  <c r="AH10" i="1"/>
  <c r="O10" i="1" s="1"/>
  <c r="U10" i="1"/>
  <c r="L10" i="1"/>
  <c r="J10" i="1"/>
  <c r="AL97" i="1" l="1"/>
  <c r="CJ98" i="1"/>
  <c r="BI97" i="1"/>
  <c r="DG98" i="1"/>
  <c r="BK97" i="1"/>
  <c r="DI98" i="1"/>
  <c r="CH97" i="1"/>
  <c r="CJ97" i="1"/>
  <c r="AL98" i="1"/>
  <c r="DH133" i="1"/>
  <c r="DG97" i="1"/>
  <c r="BI98" i="1"/>
  <c r="DI97" i="1"/>
  <c r="BK98" i="1"/>
  <c r="BH135" i="1"/>
  <c r="BH126" i="1"/>
  <c r="BH136" i="1"/>
  <c r="DF134" i="1"/>
  <c r="BJ135" i="1"/>
  <c r="DF136" i="1"/>
  <c r="CG126" i="1"/>
  <c r="CG135" i="1"/>
  <c r="DF126" i="1"/>
  <c r="DF135" i="1"/>
  <c r="BH134" i="1"/>
  <c r="BJ136" i="1"/>
  <c r="BJ134" i="1"/>
  <c r="CG136" i="1"/>
  <c r="CG134" i="1"/>
  <c r="DH135" i="1"/>
  <c r="DH136" i="1"/>
  <c r="DH134" i="1"/>
  <c r="DH126" i="1"/>
  <c r="CI135" i="1"/>
  <c r="CI136" i="1"/>
  <c r="CI134" i="1"/>
  <c r="CI133" i="1"/>
  <c r="CI126" i="1"/>
  <c r="BJ126" i="1"/>
  <c r="DI96" i="1"/>
  <c r="DI157" i="1" s="1"/>
  <c r="CK77" i="1"/>
  <c r="AL71" i="1"/>
  <c r="AI135" i="1"/>
  <c r="AI136" i="1"/>
  <c r="AI126" i="1"/>
  <c r="L134" i="1"/>
  <c r="AK126" i="1"/>
  <c r="AI134" i="1"/>
  <c r="AK133" i="1"/>
  <c r="AK134" i="1"/>
  <c r="AK135" i="1"/>
  <c r="AK136" i="1"/>
  <c r="J134" i="1"/>
  <c r="CK102" i="1"/>
  <c r="BK73" i="1"/>
  <c r="M96" i="1"/>
  <c r="M157" i="1" s="1"/>
  <c r="CJ71" i="1"/>
  <c r="CK120" i="1"/>
  <c r="CK121" i="1"/>
  <c r="BL73" i="1"/>
  <c r="M99" i="1"/>
  <c r="M112" i="1"/>
  <c r="N113" i="1"/>
  <c r="M117" i="1"/>
  <c r="L147" i="1"/>
  <c r="M103" i="1"/>
  <c r="K47" i="1"/>
  <c r="N143" i="1"/>
  <c r="N145" i="1"/>
  <c r="K49" i="1"/>
  <c r="M105" i="1"/>
  <c r="M108" i="1"/>
  <c r="M113" i="1"/>
  <c r="M101" i="1"/>
  <c r="M109" i="1"/>
  <c r="M110" i="1"/>
  <c r="M111" i="1"/>
  <c r="N142" i="1"/>
  <c r="J117" i="1"/>
  <c r="K117" i="1" s="1"/>
  <c r="U117" i="1"/>
  <c r="R117" i="1"/>
  <c r="M71" i="1"/>
  <c r="N99" i="1"/>
  <c r="BK86" i="1"/>
  <c r="CK80" i="1"/>
  <c r="CH51" i="1"/>
  <c r="AJ47" i="1"/>
  <c r="K101" i="1"/>
  <c r="N140" i="1"/>
  <c r="DG71" i="1"/>
  <c r="DF63" i="1"/>
  <c r="DJ63" i="1" s="1"/>
  <c r="AI108" i="1"/>
  <c r="AJ108" i="1" s="1"/>
  <c r="N127" i="1"/>
  <c r="N131" i="1"/>
  <c r="N144" i="1"/>
  <c r="N155" i="1"/>
  <c r="N156" i="1"/>
  <c r="N141" i="1"/>
  <c r="DI73" i="1"/>
  <c r="CJ54" i="1"/>
  <c r="CK59" i="1"/>
  <c r="BK72" i="1"/>
  <c r="AM77" i="1"/>
  <c r="DJ117" i="1"/>
  <c r="AM121" i="1"/>
  <c r="BH122" i="1"/>
  <c r="BL122" i="1" s="1"/>
  <c r="N130" i="1"/>
  <c r="N139" i="1"/>
  <c r="CJ40" i="1"/>
  <c r="N121" i="1"/>
  <c r="CH69" i="1"/>
  <c r="CJ67" i="1"/>
  <c r="CJ28" i="1"/>
  <c r="CJ63" i="1"/>
  <c r="DJ86" i="1"/>
  <c r="BI32" i="1"/>
  <c r="BK40" i="1"/>
  <c r="AL58" i="1"/>
  <c r="M54" i="1"/>
  <c r="M60" i="1"/>
  <c r="BK64" i="1"/>
  <c r="M70" i="1"/>
  <c r="N93" i="1"/>
  <c r="AM93" i="1"/>
  <c r="N116" i="1"/>
  <c r="AL119" i="1"/>
  <c r="AL159" i="1" s="1"/>
  <c r="BL121" i="1"/>
  <c r="AM103" i="1"/>
  <c r="N106" i="1"/>
  <c r="AM111" i="1"/>
  <c r="AL123" i="1"/>
  <c r="AL160" i="1" s="1"/>
  <c r="DG72" i="1"/>
  <c r="AL51" i="1"/>
  <c r="BK54" i="1"/>
  <c r="BK56" i="1"/>
  <c r="AM13" i="1"/>
  <c r="DI77" i="1"/>
  <c r="AM19" i="1"/>
  <c r="DI22" i="1"/>
  <c r="BK22" i="1"/>
  <c r="CK23" i="1"/>
  <c r="M52" i="1"/>
  <c r="CK51" i="1"/>
  <c r="BL52" i="1"/>
  <c r="M57" i="1"/>
  <c r="BK59" i="1"/>
  <c r="CJ62" i="1"/>
  <c r="M72" i="1"/>
  <c r="M30" i="1"/>
  <c r="CH49" i="1"/>
  <c r="CK93" i="1"/>
  <c r="BI67" i="1"/>
  <c r="AL92" i="1"/>
  <c r="BI71" i="1"/>
  <c r="AL29" i="1"/>
  <c r="BL34" i="1"/>
  <c r="DG52" i="1"/>
  <c r="DI60" i="1"/>
  <c r="AM55" i="1"/>
  <c r="M58" i="1"/>
  <c r="CH88" i="1"/>
  <c r="DI88" i="1"/>
  <c r="N69" i="1"/>
  <c r="DJ87" i="1"/>
  <c r="AJ49" i="1"/>
  <c r="BL11" i="1"/>
  <c r="AL67" i="1"/>
  <c r="AM17" i="1"/>
  <c r="CG31" i="1"/>
  <c r="CH31" i="1" s="1"/>
  <c r="BH45" i="1"/>
  <c r="BI45" i="1" s="1"/>
  <c r="BL47" i="1"/>
  <c r="CJ47" i="1"/>
  <c r="AL64" i="1"/>
  <c r="CJ64" i="1"/>
  <c r="BL65" i="1"/>
  <c r="BH78" i="1"/>
  <c r="BL78" i="1" s="1"/>
  <c r="CK103" i="1"/>
  <c r="CH103" i="1"/>
  <c r="AM114" i="1"/>
  <c r="CG45" i="1"/>
  <c r="CH45" i="1" s="1"/>
  <c r="BH53" i="1"/>
  <c r="BI62" i="1" s="1"/>
  <c r="DF37" i="1"/>
  <c r="DG37" i="1" s="1"/>
  <c r="CK10" i="1"/>
  <c r="CK24" i="1"/>
  <c r="CK42" i="1"/>
  <c r="BL44" i="1"/>
  <c r="AM116" i="1"/>
  <c r="AJ116" i="1"/>
  <c r="DJ10" i="1"/>
  <c r="CK11" i="1"/>
  <c r="BL15" i="1"/>
  <c r="CK17" i="1"/>
  <c r="BL19" i="1"/>
  <c r="CK21" i="1"/>
  <c r="M25" i="1"/>
  <c r="CK26" i="1"/>
  <c r="CK28" i="1"/>
  <c r="DJ34" i="1"/>
  <c r="AL36" i="1"/>
  <c r="BH37" i="1"/>
  <c r="BL37" i="1" s="1"/>
  <c r="AM42" i="1"/>
  <c r="CK43" i="1"/>
  <c r="CJ45" i="1"/>
  <c r="AJ52" i="1"/>
  <c r="M56" i="1"/>
  <c r="CK56" i="1"/>
  <c r="AL57" i="1"/>
  <c r="CJ59" i="1"/>
  <c r="BK70" i="1"/>
  <c r="CK90" i="1"/>
  <c r="N129" i="1"/>
  <c r="N154" i="1"/>
  <c r="J108" i="1"/>
  <c r="K108" i="1" s="1"/>
  <c r="R108" i="1"/>
  <c r="AL93" i="1"/>
  <c r="DG67" i="1"/>
  <c r="DJ15" i="1"/>
  <c r="DJ19" i="1"/>
  <c r="DG28" i="1"/>
  <c r="BL22" i="1"/>
  <c r="M23" i="1"/>
  <c r="AL24" i="1"/>
  <c r="DG24" i="1"/>
  <c r="AM39" i="1"/>
  <c r="DI45" i="1"/>
  <c r="DI40" i="1"/>
  <c r="BI41" i="1"/>
  <c r="N42" i="1"/>
  <c r="DJ42" i="1"/>
  <c r="CH47" i="1"/>
  <c r="DG47" i="1"/>
  <c r="AL52" i="1"/>
  <c r="DJ52" i="1"/>
  <c r="CJ55" i="1"/>
  <c r="AM56" i="1"/>
  <c r="CJ56" i="1"/>
  <c r="CJ58" i="1"/>
  <c r="DI59" i="1"/>
  <c r="AL60" i="1"/>
  <c r="AL61" i="1"/>
  <c r="CJ61" i="1"/>
  <c r="BH91" i="1"/>
  <c r="BL91" i="1" s="1"/>
  <c r="N94" i="1"/>
  <c r="AH157" i="1"/>
  <c r="O157" i="1" s="1"/>
  <c r="AH96" i="1"/>
  <c r="O96" i="1" s="1"/>
  <c r="N128" i="1"/>
  <c r="AM68" i="1"/>
  <c r="CJ72" i="1"/>
  <c r="N80" i="1"/>
  <c r="CK97" i="1"/>
  <c r="N112" i="1"/>
  <c r="CK112" i="1"/>
  <c r="M115" i="1"/>
  <c r="AM120" i="1"/>
  <c r="AI122" i="1"/>
  <c r="AM122" i="1" s="1"/>
  <c r="DJ66" i="1"/>
  <c r="BL70" i="1"/>
  <c r="AL72" i="1"/>
  <c r="CK73" i="1"/>
  <c r="BK74" i="1"/>
  <c r="DJ77" i="1"/>
  <c r="DJ88" i="1"/>
  <c r="M95" i="1"/>
  <c r="N98" i="1"/>
  <c r="M100" i="1"/>
  <c r="M104" i="1"/>
  <c r="M106" i="1"/>
  <c r="M107" i="1"/>
  <c r="N110" i="1"/>
  <c r="M114" i="1"/>
  <c r="BL114" i="1"/>
  <c r="M116" i="1"/>
  <c r="CJ118" i="1"/>
  <c r="CJ158" i="1" s="1"/>
  <c r="AH119" i="1"/>
  <c r="O119" i="1" s="1"/>
  <c r="N120" i="1"/>
  <c r="U122" i="1"/>
  <c r="CG122" i="1"/>
  <c r="CK122" i="1" s="1"/>
  <c r="DF122" i="1"/>
  <c r="DJ122" i="1" s="1"/>
  <c r="M123" i="1"/>
  <c r="M160" i="1" s="1"/>
  <c r="L150" i="1"/>
  <c r="L151" i="1"/>
  <c r="O159" i="1"/>
  <c r="DG23" i="1"/>
  <c r="CJ24" i="1"/>
  <c r="AL28" i="1"/>
  <c r="AL30" i="1"/>
  <c r="AL31" i="1"/>
  <c r="AL32" i="1"/>
  <c r="CH41" i="1"/>
  <c r="DJ11" i="1"/>
  <c r="CK13" i="1"/>
  <c r="J135" i="1"/>
  <c r="AM18" i="1"/>
  <c r="BL18" i="1"/>
  <c r="DI38" i="1"/>
  <c r="AM21" i="1"/>
  <c r="M26" i="1"/>
  <c r="DG27" i="1"/>
  <c r="CK30" i="1"/>
  <c r="M32" i="1"/>
  <c r="CJ34" i="1"/>
  <c r="AL40" i="1"/>
  <c r="BK43" i="1"/>
  <c r="CJ22" i="1"/>
  <c r="CJ23" i="1"/>
  <c r="DJ23" i="1"/>
  <c r="AL25" i="1"/>
  <c r="DG32" i="1"/>
  <c r="CJ33" i="1"/>
  <c r="AL34" i="1"/>
  <c r="DG35" i="1"/>
  <c r="AL37" i="1"/>
  <c r="CK39" i="1"/>
  <c r="BK45" i="1"/>
  <c r="N13" i="1"/>
  <c r="BL13" i="1"/>
  <c r="AM16" i="1"/>
  <c r="DJ17" i="1"/>
  <c r="CK18" i="1"/>
  <c r="M28" i="1"/>
  <c r="CH33" i="1"/>
  <c r="DG26" i="1"/>
  <c r="CJ32" i="1"/>
  <c r="AL33" i="1"/>
  <c r="CK35" i="1"/>
  <c r="DI43" i="1"/>
  <c r="BK102" i="1"/>
  <c r="BL28" i="1"/>
  <c r="BI28" i="1"/>
  <c r="M33" i="1"/>
  <c r="M36" i="1"/>
  <c r="M43" i="1"/>
  <c r="M42" i="1"/>
  <c r="AM44" i="1"/>
  <c r="AJ44" i="1"/>
  <c r="DG51" i="1"/>
  <c r="DJ51" i="1"/>
  <c r="BK83" i="1"/>
  <c r="DI93" i="1"/>
  <c r="AL96" i="1"/>
  <c r="AL157" i="1" s="1"/>
  <c r="CK98" i="1"/>
  <c r="DI102" i="1"/>
  <c r="AM11" i="1"/>
  <c r="BL12" i="1"/>
  <c r="CK12" i="1"/>
  <c r="N16" i="1"/>
  <c r="N17" i="1"/>
  <c r="DJ18" i="1"/>
  <c r="CK19" i="1"/>
  <c r="BI33" i="1"/>
  <c r="BI36" i="1"/>
  <c r="N21" i="1"/>
  <c r="BL21" i="1"/>
  <c r="AL23" i="1"/>
  <c r="CH25" i="1"/>
  <c r="BI26" i="1"/>
  <c r="CH26" i="1"/>
  <c r="BI27" i="1"/>
  <c r="M29" i="1"/>
  <c r="CK29" i="1"/>
  <c r="CH29" i="1"/>
  <c r="BK32" i="1"/>
  <c r="CH34" i="1"/>
  <c r="M35" i="1"/>
  <c r="M38" i="1"/>
  <c r="CJ43" i="1"/>
  <c r="CJ42" i="1"/>
  <c r="M41" i="1"/>
  <c r="CJ41" i="1"/>
  <c r="AJ43" i="1"/>
  <c r="N44" i="1"/>
  <c r="K44" i="1"/>
  <c r="DG49" i="1"/>
  <c r="DJ49" i="1"/>
  <c r="DI61" i="1"/>
  <c r="DI56" i="1"/>
  <c r="DI64" i="1"/>
  <c r="DI54" i="1"/>
  <c r="BK58" i="1"/>
  <c r="BL74" i="1"/>
  <c r="DI76" i="1"/>
  <c r="BK77" i="1"/>
  <c r="AL83" i="1"/>
  <c r="BK93" i="1"/>
  <c r="BL116" i="1"/>
  <c r="BI116" i="1"/>
  <c r="BK123" i="1"/>
  <c r="BK160" i="1" s="1"/>
  <c r="M82" i="1"/>
  <c r="M78" i="1"/>
  <c r="L136" i="1"/>
  <c r="M93" i="1"/>
  <c r="BK94" i="1"/>
  <c r="DI78" i="1"/>
  <c r="DJ16" i="1"/>
  <c r="BK34" i="1"/>
  <c r="BK29" i="1"/>
  <c r="M22" i="1"/>
  <c r="CK22" i="1"/>
  <c r="M24" i="1"/>
  <c r="BL24" i="1"/>
  <c r="CH24" i="1"/>
  <c r="DG30" i="1"/>
  <c r="DJ30" i="1"/>
  <c r="BK33" i="1"/>
  <c r="BL35" i="1"/>
  <c r="BI35" i="1"/>
  <c r="CK44" i="1"/>
  <c r="CH44" i="1"/>
  <c r="AL47" i="1"/>
  <c r="M49" i="1"/>
  <c r="CH52" i="1"/>
  <c r="BK63" i="1"/>
  <c r="N71" i="1"/>
  <c r="K72" i="1"/>
  <c r="CH75" i="1"/>
  <c r="CK75" i="1"/>
  <c r="DI91" i="1"/>
  <c r="BI115" i="1"/>
  <c r="BL115" i="1"/>
  <c r="CH118" i="1"/>
  <c r="CH158" i="1" s="1"/>
  <c r="CJ93" i="1"/>
  <c r="AM12" i="1"/>
  <c r="DJ12" i="1"/>
  <c r="N15" i="1"/>
  <c r="BL16" i="1"/>
  <c r="CK16" i="1"/>
  <c r="L135" i="1"/>
  <c r="CH73" i="1"/>
  <c r="CJ38" i="1"/>
  <c r="CJ37" i="1"/>
  <c r="DG33" i="1"/>
  <c r="DG36" i="1"/>
  <c r="AL22" i="1"/>
  <c r="CH22" i="1"/>
  <c r="BI23" i="1"/>
  <c r="BI24" i="1"/>
  <c r="DJ24" i="1"/>
  <c r="CJ25" i="1"/>
  <c r="AL26" i="1"/>
  <c r="M27" i="1"/>
  <c r="AL27" i="1"/>
  <c r="BL27" i="1"/>
  <c r="CJ27" i="1"/>
  <c r="DJ27" i="1"/>
  <c r="CH28" i="1"/>
  <c r="CJ29" i="1"/>
  <c r="CK32" i="1"/>
  <c r="CJ36" i="1"/>
  <c r="M37" i="1"/>
  <c r="N39" i="1"/>
  <c r="AL43" i="1"/>
  <c r="AL42" i="1"/>
  <c r="BL42" i="1"/>
  <c r="BI42" i="1"/>
  <c r="M45" i="1"/>
  <c r="AL45" i="1"/>
  <c r="M47" i="1"/>
  <c r="BI49" i="1"/>
  <c r="BL49" i="1"/>
  <c r="BI52" i="1"/>
  <c r="CJ52" i="1"/>
  <c r="BK60" i="1"/>
  <c r="DI83" i="1"/>
  <c r="AL88" i="1"/>
  <c r="CK114" i="1"/>
  <c r="CH114" i="1"/>
  <c r="BL118" i="1"/>
  <c r="BI118" i="1"/>
  <c r="BI158" i="1" s="1"/>
  <c r="BL25" i="1"/>
  <c r="DI25" i="1"/>
  <c r="CJ26" i="1"/>
  <c r="DJ29" i="1"/>
  <c r="BI30" i="1"/>
  <c r="CJ30" i="1"/>
  <c r="CJ31" i="1"/>
  <c r="CK33" i="1"/>
  <c r="M34" i="1"/>
  <c r="CJ35" i="1"/>
  <c r="BL36" i="1"/>
  <c r="CK36" i="1"/>
  <c r="DJ36" i="1"/>
  <c r="BI40" i="1"/>
  <c r="CK40" i="1"/>
  <c r="DJ40" i="1"/>
  <c r="AL41" i="1"/>
  <c r="DI42" i="1"/>
  <c r="BI47" i="1"/>
  <c r="AM49" i="1"/>
  <c r="CJ49" i="1"/>
  <c r="BI51" i="1"/>
  <c r="CJ51" i="1"/>
  <c r="DI55" i="1"/>
  <c r="BK57" i="1"/>
  <c r="CJ57" i="1"/>
  <c r="DJ58" i="1"/>
  <c r="CK60" i="1"/>
  <c r="BL62" i="1"/>
  <c r="DJ62" i="1"/>
  <c r="BL66" i="1"/>
  <c r="BI68" i="1"/>
  <c r="CJ68" i="1"/>
  <c r="DG70" i="1"/>
  <c r="DJ69" i="1"/>
  <c r="AL70" i="1"/>
  <c r="BK85" i="1"/>
  <c r="DG100" i="1"/>
  <c r="DJ100" i="1"/>
  <c r="DJ105" i="1"/>
  <c r="DG105" i="1"/>
  <c r="DJ112" i="1"/>
  <c r="DG112" i="1"/>
  <c r="DI29" i="1"/>
  <c r="M31" i="1"/>
  <c r="BK31" i="1"/>
  <c r="AM32" i="1"/>
  <c r="DJ33" i="1"/>
  <c r="BI34" i="1"/>
  <c r="DG34" i="1"/>
  <c r="AL35" i="1"/>
  <c r="AL38" i="1"/>
  <c r="BK41" i="1"/>
  <c r="M40" i="1"/>
  <c r="CH40" i="1"/>
  <c r="CK41" i="1"/>
  <c r="DG41" i="1"/>
  <c r="BK42" i="1"/>
  <c r="K43" i="1"/>
  <c r="CH43" i="1"/>
  <c r="M44" i="1"/>
  <c r="AL44" i="1"/>
  <c r="BK44" i="1"/>
  <c r="CJ44" i="1"/>
  <c r="DI44" i="1"/>
  <c r="N49" i="1"/>
  <c r="AL49" i="1"/>
  <c r="M51" i="1"/>
  <c r="K52" i="1"/>
  <c r="M63" i="1"/>
  <c r="BK55" i="1"/>
  <c r="CK55" i="1"/>
  <c r="N56" i="1"/>
  <c r="BL58" i="1"/>
  <c r="DI58" i="1"/>
  <c r="BL59" i="1"/>
  <c r="DJ59" i="1"/>
  <c r="CJ60" i="1"/>
  <c r="M61" i="1"/>
  <c r="M62" i="1"/>
  <c r="BK62" i="1"/>
  <c r="DI62" i="1"/>
  <c r="M64" i="1"/>
  <c r="BK88" i="1"/>
  <c r="BK66" i="1"/>
  <c r="CK67" i="1"/>
  <c r="DI70" i="1"/>
  <c r="DJ71" i="1"/>
  <c r="BK78" i="1"/>
  <c r="AL80" i="1"/>
  <c r="DJ89" i="1"/>
  <c r="CH90" i="1"/>
  <c r="DI90" i="1"/>
  <c r="CH94" i="1"/>
  <c r="CK94" i="1"/>
  <c r="DI94" i="1"/>
  <c r="AM107" i="1"/>
  <c r="DJ109" i="1"/>
  <c r="DG109" i="1"/>
  <c r="CH112" i="1"/>
  <c r="BL113" i="1"/>
  <c r="BI113" i="1"/>
  <c r="N114" i="1"/>
  <c r="DG117" i="1"/>
  <c r="M118" i="1"/>
  <c r="M158" i="1" s="1"/>
  <c r="AL118" i="1"/>
  <c r="AL158" i="1" s="1"/>
  <c r="DI118" i="1"/>
  <c r="DI158" i="1" s="1"/>
  <c r="CJ119" i="1"/>
  <c r="CJ159" i="1" s="1"/>
  <c r="DI119" i="1"/>
  <c r="DI159" i="1" s="1"/>
  <c r="DI63" i="1"/>
  <c r="CH66" i="1"/>
  <c r="DI66" i="1"/>
  <c r="BK68" i="1"/>
  <c r="N68" i="1"/>
  <c r="AL68" i="1"/>
  <c r="DG68" i="1"/>
  <c r="DJ70" i="1"/>
  <c r="BL71" i="1"/>
  <c r="N72" i="1"/>
  <c r="AM72" i="1"/>
  <c r="BI72" i="1"/>
  <c r="CK72" i="1"/>
  <c r="DJ74" i="1"/>
  <c r="DI75" i="1"/>
  <c r="N77" i="1"/>
  <c r="CH81" i="1"/>
  <c r="DI81" i="1"/>
  <c r="CH82" i="1"/>
  <c r="DI85" i="1"/>
  <c r="BL86" i="1"/>
  <c r="CK86" i="1"/>
  <c r="BK87" i="1"/>
  <c r="CK88" i="1"/>
  <c r="BL89" i="1"/>
  <c r="BK90" i="1"/>
  <c r="M91" i="1"/>
  <c r="BL99" i="1"/>
  <c r="CK106" i="1"/>
  <c r="CK110" i="1"/>
  <c r="AM112" i="1"/>
  <c r="DJ114" i="1"/>
  <c r="CK116" i="1"/>
  <c r="DJ118" i="1"/>
  <c r="M68" i="1"/>
  <c r="CK68" i="1"/>
  <c r="AM69" i="1"/>
  <c r="CH70" i="1"/>
  <c r="AM71" i="1"/>
  <c r="AJ72" i="1"/>
  <c r="CH74" i="1"/>
  <c r="DI74" i="1"/>
  <c r="BK75" i="1"/>
  <c r="BK76" i="1"/>
  <c r="CH77" i="1"/>
  <c r="BL81" i="1"/>
  <c r="BK82" i="1"/>
  <c r="DI82" i="1"/>
  <c r="AM83" i="1"/>
  <c r="BL83" i="1"/>
  <c r="CK83" i="1"/>
  <c r="AL90" i="1"/>
  <c r="BK92" i="1"/>
  <c r="DI92" i="1"/>
  <c r="BL101" i="1"/>
  <c r="DJ101" i="1"/>
  <c r="BL104" i="1"/>
  <c r="DJ104" i="1"/>
  <c r="AM106" i="1"/>
  <c r="CK107" i="1"/>
  <c r="BL108" i="1"/>
  <c r="DJ108" i="1"/>
  <c r="AM110" i="1"/>
  <c r="CK111" i="1"/>
  <c r="AJ112" i="1"/>
  <c r="BL112" i="1"/>
  <c r="DG114" i="1"/>
  <c r="CH116" i="1"/>
  <c r="DJ116" i="1"/>
  <c r="BK118" i="1"/>
  <c r="BK158" i="1" s="1"/>
  <c r="DG118" i="1"/>
  <c r="DG158" i="1" s="1"/>
  <c r="DJ121" i="1"/>
  <c r="CJ123" i="1"/>
  <c r="CJ160" i="1" s="1"/>
  <c r="K112" i="1"/>
  <c r="AM117" i="1"/>
  <c r="AJ114" i="1"/>
  <c r="AJ111" i="1"/>
  <c r="AJ110" i="1"/>
  <c r="AM109" i="1"/>
  <c r="AJ106" i="1"/>
  <c r="AJ107" i="1"/>
  <c r="AM105" i="1"/>
  <c r="AJ103" i="1"/>
  <c r="N101" i="1"/>
  <c r="K98" i="1"/>
  <c r="K104" i="1"/>
  <c r="K105" i="1"/>
  <c r="K109" i="1"/>
  <c r="K115" i="1"/>
  <c r="K116" i="1"/>
  <c r="N153" i="1"/>
  <c r="K114" i="1"/>
  <c r="K99" i="1"/>
  <c r="K100" i="1"/>
  <c r="K103" i="1"/>
  <c r="K106" i="1"/>
  <c r="K107" i="1"/>
  <c r="K110" i="1"/>
  <c r="K111" i="1"/>
  <c r="K113" i="1"/>
  <c r="AJ74" i="1"/>
  <c r="K74" i="1"/>
  <c r="AJ73" i="1"/>
  <c r="AJ82" i="1"/>
  <c r="K94" i="1"/>
  <c r="N14" i="1"/>
  <c r="AM14" i="1"/>
  <c r="AM43" i="1"/>
  <c r="N43" i="1"/>
  <c r="J126" i="1"/>
  <c r="N12" i="1"/>
  <c r="DJ13" i="1"/>
  <c r="BI83" i="1"/>
  <c r="BI82" i="1"/>
  <c r="BI75" i="1"/>
  <c r="BL14" i="1"/>
  <c r="BI81" i="1"/>
  <c r="AM15" i="1"/>
  <c r="AM20" i="1"/>
  <c r="DJ21" i="1"/>
  <c r="DG22" i="1"/>
  <c r="BL23" i="1"/>
  <c r="DI24" i="1"/>
  <c r="BK25" i="1"/>
  <c r="DJ25" i="1"/>
  <c r="DJ26" i="1"/>
  <c r="BK28" i="1"/>
  <c r="BL30" i="1"/>
  <c r="DI30" i="1"/>
  <c r="DF31" i="1"/>
  <c r="K32" i="1"/>
  <c r="DJ32" i="1"/>
  <c r="BL33" i="1"/>
  <c r="DI33" i="1"/>
  <c r="BL43" i="1"/>
  <c r="N47" i="1"/>
  <c r="AM47" i="1"/>
  <c r="DJ47" i="1"/>
  <c r="DI49" i="1"/>
  <c r="DJ48" i="1"/>
  <c r="CK49" i="1"/>
  <c r="BL55" i="1"/>
  <c r="DJ55" i="1"/>
  <c r="CK61" i="1"/>
  <c r="M89" i="1"/>
  <c r="M86" i="1"/>
  <c r="M65" i="1"/>
  <c r="AL85" i="1"/>
  <c r="AL86" i="1"/>
  <c r="AL89" i="1"/>
  <c r="AL65" i="1"/>
  <c r="K67" i="1"/>
  <c r="AJ67" i="1"/>
  <c r="BL67" i="1"/>
  <c r="DI67" i="1"/>
  <c r="DI68" i="1"/>
  <c r="BI69" i="1"/>
  <c r="CK69" i="1"/>
  <c r="BI70" i="1"/>
  <c r="M73" i="1"/>
  <c r="AL73" i="1"/>
  <c r="BL75" i="1"/>
  <c r="CG76" i="1"/>
  <c r="AM80" i="1"/>
  <c r="CJ81" i="1"/>
  <c r="M83" i="1"/>
  <c r="M98" i="1"/>
  <c r="AM98" i="1"/>
  <c r="AJ98" i="1"/>
  <c r="N20" i="1"/>
  <c r="DI35" i="1"/>
  <c r="DI31" i="1"/>
  <c r="DI27" i="1"/>
  <c r="DI23" i="1"/>
  <c r="DF53" i="1"/>
  <c r="DG60" i="1" s="1"/>
  <c r="BH63" i="1"/>
  <c r="DG89" i="1"/>
  <c r="DG86" i="1"/>
  <c r="DG65" i="1"/>
  <c r="BK67" i="1"/>
  <c r="CJ69" i="1"/>
  <c r="CJ70" i="1"/>
  <c r="CH71" i="1"/>
  <c r="CH72" i="1"/>
  <c r="DG73" i="1"/>
  <c r="BI77" i="1"/>
  <c r="BL77" i="1"/>
  <c r="AL87" i="1"/>
  <c r="DG88" i="1"/>
  <c r="CG91" i="1"/>
  <c r="M94" i="1"/>
  <c r="AM94" i="1"/>
  <c r="AJ94" i="1"/>
  <c r="BL100" i="1"/>
  <c r="BI100" i="1"/>
  <c r="DI28" i="1"/>
  <c r="DI34" i="1"/>
  <c r="DF45" i="1"/>
  <c r="BK47" i="1"/>
  <c r="BL46" i="1"/>
  <c r="DI51" i="1"/>
  <c r="DJ50" i="1"/>
  <c r="N10" i="1"/>
  <c r="AM10" i="1"/>
  <c r="L126" i="1"/>
  <c r="BK37" i="1"/>
  <c r="BK35" i="1"/>
  <c r="BK27" i="1"/>
  <c r="BK23" i="1"/>
  <c r="CK25" i="1"/>
  <c r="AJ32" i="1"/>
  <c r="DI32" i="1"/>
  <c r="BK38" i="1"/>
  <c r="DG43" i="1"/>
  <c r="DJ39" i="1"/>
  <c r="DG42" i="1"/>
  <c r="DG44" i="1"/>
  <c r="BK49" i="1"/>
  <c r="BL48" i="1"/>
  <c r="BK52" i="1"/>
  <c r="DI52" i="1"/>
  <c r="AI53" i="1"/>
  <c r="AJ55" i="1" s="1"/>
  <c r="U53" i="1"/>
  <c r="DJ61" i="1"/>
  <c r="AL63" i="1"/>
  <c r="BI86" i="1"/>
  <c r="BI89" i="1"/>
  <c r="BI65" i="1"/>
  <c r="M66" i="1"/>
  <c r="BI66" i="1"/>
  <c r="DG66" i="1"/>
  <c r="N67" i="1"/>
  <c r="AM67" i="1"/>
  <c r="K68" i="1"/>
  <c r="M69" i="1"/>
  <c r="AL69" i="1"/>
  <c r="BL69" i="1"/>
  <c r="K71" i="1"/>
  <c r="AJ71" i="1"/>
  <c r="DI71" i="1"/>
  <c r="DI72" i="1"/>
  <c r="BI73" i="1"/>
  <c r="M74" i="1"/>
  <c r="BI74" i="1"/>
  <c r="DG74" i="1"/>
  <c r="M76" i="1"/>
  <c r="AL76" i="1"/>
  <c r="DG83" i="1"/>
  <c r="M85" i="1"/>
  <c r="CK87" i="1"/>
  <c r="CH87" i="1"/>
  <c r="M88" i="1"/>
  <c r="DG93" i="1"/>
  <c r="BI93" i="1"/>
  <c r="BL10" i="1"/>
  <c r="CJ83" i="1"/>
  <c r="CJ82" i="1"/>
  <c r="CJ80" i="1"/>
  <c r="CJ76" i="1"/>
  <c r="CJ75" i="1"/>
  <c r="N18" i="1"/>
  <c r="DJ20" i="1"/>
  <c r="BK26" i="1"/>
  <c r="N11" i="1"/>
  <c r="M92" i="1"/>
  <c r="M80" i="1"/>
  <c r="M75" i="1"/>
  <c r="M97" i="1"/>
  <c r="M81" i="1"/>
  <c r="AL82" i="1"/>
  <c r="AL75" i="1"/>
  <c r="AL81" i="1"/>
  <c r="CK14" i="1"/>
  <c r="DG82" i="1"/>
  <c r="DG80" i="1"/>
  <c r="DG75" i="1"/>
  <c r="DJ14" i="1"/>
  <c r="CK15" i="1"/>
  <c r="BL17" i="1"/>
  <c r="J136" i="1"/>
  <c r="N19" i="1"/>
  <c r="BL20" i="1"/>
  <c r="CH35" i="1"/>
  <c r="CH27" i="1"/>
  <c r="CH23" i="1"/>
  <c r="CK20" i="1"/>
  <c r="BI22" i="1"/>
  <c r="DJ22" i="1"/>
  <c r="BK24" i="1"/>
  <c r="BL26" i="1"/>
  <c r="DI26" i="1"/>
  <c r="CK27" i="1"/>
  <c r="DJ28" i="1"/>
  <c r="BL29" i="1"/>
  <c r="BK30" i="1"/>
  <c r="CH30" i="1"/>
  <c r="N32" i="1"/>
  <c r="BL32" i="1"/>
  <c r="CH32" i="1"/>
  <c r="CK34" i="1"/>
  <c r="DJ35" i="1"/>
  <c r="BK36" i="1"/>
  <c r="DI36" i="1"/>
  <c r="DI37" i="1"/>
  <c r="BI43" i="1"/>
  <c r="BL39" i="1"/>
  <c r="BL41" i="1"/>
  <c r="DJ41" i="1"/>
  <c r="DJ43" i="1"/>
  <c r="DI47" i="1"/>
  <c r="DJ46" i="1"/>
  <c r="CK47" i="1"/>
  <c r="BK51" i="1"/>
  <c r="BL50" i="1"/>
  <c r="BL51" i="1"/>
  <c r="J53" i="1"/>
  <c r="AL59" i="1"/>
  <c r="AL55" i="1"/>
  <c r="AL54" i="1"/>
  <c r="N55" i="1"/>
  <c r="AL56" i="1"/>
  <c r="BL61" i="1"/>
  <c r="AL62" i="1"/>
  <c r="CJ88" i="1"/>
  <c r="CJ89" i="1"/>
  <c r="CJ86" i="1"/>
  <c r="CJ65" i="1"/>
  <c r="DJ65" i="1"/>
  <c r="AL66" i="1"/>
  <c r="CJ66" i="1"/>
  <c r="CH67" i="1"/>
  <c r="DJ67" i="1"/>
  <c r="AJ68" i="1"/>
  <c r="CH68" i="1"/>
  <c r="DG69" i="1"/>
  <c r="BK71" i="1"/>
  <c r="CK71" i="1"/>
  <c r="N73" i="1"/>
  <c r="AM73" i="1"/>
  <c r="CJ73" i="1"/>
  <c r="DJ73" i="1"/>
  <c r="AL74" i="1"/>
  <c r="CJ74" i="1"/>
  <c r="DJ75" i="1"/>
  <c r="M77" i="1"/>
  <c r="AL77" i="1"/>
  <c r="AL78" i="1"/>
  <c r="BL80" i="1"/>
  <c r="BI80" i="1"/>
  <c r="DI80" i="1"/>
  <c r="DJ80" i="1"/>
  <c r="DG81" i="1"/>
  <c r="CJ85" i="1"/>
  <c r="BL87" i="1"/>
  <c r="BL88" i="1"/>
  <c r="BI88" i="1"/>
  <c r="CH89" i="1"/>
  <c r="CK89" i="1"/>
  <c r="DG90" i="1"/>
  <c r="AL91" i="1"/>
  <c r="BK96" i="1"/>
  <c r="BK157" i="1" s="1"/>
  <c r="AL102" i="1"/>
  <c r="CH102" i="1"/>
  <c r="DG102" i="1"/>
  <c r="DJ103" i="1"/>
  <c r="N105" i="1"/>
  <c r="DJ107" i="1"/>
  <c r="N109" i="1"/>
  <c r="DJ111" i="1"/>
  <c r="CK113" i="1"/>
  <c r="M119" i="1"/>
  <c r="M159" i="1" s="1"/>
  <c r="L159" i="1"/>
  <c r="CG63" i="1"/>
  <c r="DJ68" i="1"/>
  <c r="CK70" i="1"/>
  <c r="CK74" i="1"/>
  <c r="DF76" i="1"/>
  <c r="K80" i="1"/>
  <c r="CH80" i="1"/>
  <c r="CK81" i="1"/>
  <c r="CH83" i="1"/>
  <c r="BK119" i="1"/>
  <c r="BK159" i="1" s="1"/>
  <c r="AH123" i="1"/>
  <c r="O123" i="1" s="1"/>
  <c r="AH160" i="1"/>
  <c r="O160" i="1" s="1"/>
  <c r="J148" i="1"/>
  <c r="CG37" i="1"/>
  <c r="BL40" i="1"/>
  <c r="DJ44" i="1"/>
  <c r="N52" i="1"/>
  <c r="AM52" i="1"/>
  <c r="CK52" i="1"/>
  <c r="CG53" i="1"/>
  <c r="CH55" i="1" s="1"/>
  <c r="BH54" i="1"/>
  <c r="BL56" i="1"/>
  <c r="DJ56" i="1"/>
  <c r="CK58" i="1"/>
  <c r="BL60" i="1"/>
  <c r="DJ60" i="1"/>
  <c r="CK62" i="1"/>
  <c r="CK66" i="1"/>
  <c r="BL68" i="1"/>
  <c r="BL72" i="1"/>
  <c r="DJ72" i="1"/>
  <c r="N74" i="1"/>
  <c r="AM74" i="1"/>
  <c r="DJ83" i="1"/>
  <c r="DG87" i="1"/>
  <c r="CJ90" i="1"/>
  <c r="CJ92" i="1"/>
  <c r="AJ93" i="1"/>
  <c r="BI94" i="1"/>
  <c r="CJ96" i="1"/>
  <c r="CJ157" i="1" s="1"/>
  <c r="CJ102" i="1"/>
  <c r="BH31" i="1"/>
  <c r="CH36" i="1"/>
  <c r="DG40" i="1"/>
  <c r="K42" i="1"/>
  <c r="AJ42" i="1"/>
  <c r="CH42" i="1"/>
  <c r="BI44" i="1"/>
  <c r="CK65" i="1"/>
  <c r="DG77" i="1"/>
  <c r="CJ78" i="1"/>
  <c r="BK80" i="1"/>
  <c r="N83" i="1"/>
  <c r="AJ83" i="1"/>
  <c r="M87" i="1"/>
  <c r="CJ87" i="1"/>
  <c r="BK89" i="1"/>
  <c r="M90" i="1"/>
  <c r="DF91" i="1"/>
  <c r="BL93" i="1"/>
  <c r="CH93" i="1"/>
  <c r="AL94" i="1"/>
  <c r="DG94" i="1"/>
  <c r="L157" i="1"/>
  <c r="L133" i="1"/>
  <c r="BL97" i="1"/>
  <c r="AM99" i="1"/>
  <c r="DJ99" i="1"/>
  <c r="AM101" i="1"/>
  <c r="M102" i="1"/>
  <c r="CK105" i="1"/>
  <c r="CK109" i="1"/>
  <c r="DJ113" i="1"/>
  <c r="N115" i="1"/>
  <c r="AM115" i="1"/>
  <c r="DJ115" i="1"/>
  <c r="CK117" i="1"/>
  <c r="DJ120" i="1"/>
  <c r="DI123" i="1"/>
  <c r="DI160" i="1" s="1"/>
  <c r="L148" i="1"/>
  <c r="BI25" i="1"/>
  <c r="DG25" i="1"/>
  <c r="BI29" i="1"/>
  <c r="DG29" i="1"/>
  <c r="DI41" i="1"/>
  <c r="N46" i="1"/>
  <c r="AM46" i="1"/>
  <c r="CK46" i="1"/>
  <c r="N48" i="1"/>
  <c r="AM48" i="1"/>
  <c r="CK48" i="1"/>
  <c r="N50" i="1"/>
  <c r="AM50" i="1"/>
  <c r="CK50" i="1"/>
  <c r="M55" i="1"/>
  <c r="DI57" i="1"/>
  <c r="M59" i="1"/>
  <c r="BK61" i="1"/>
  <c r="BK65" i="1"/>
  <c r="CH65" i="1"/>
  <c r="DI65" i="1"/>
  <c r="M67" i="1"/>
  <c r="K69" i="1"/>
  <c r="AJ69" i="1"/>
  <c r="BK69" i="1"/>
  <c r="DI69" i="1"/>
  <c r="K73" i="1"/>
  <c r="BH76" i="1"/>
  <c r="K77" i="1"/>
  <c r="AJ77" i="1"/>
  <c r="CJ77" i="1"/>
  <c r="AJ80" i="1"/>
  <c r="BK81" i="1"/>
  <c r="DJ81" i="1"/>
  <c r="K82" i="1"/>
  <c r="K83" i="1"/>
  <c r="CH86" i="1"/>
  <c r="DI86" i="1"/>
  <c r="BI87" i="1"/>
  <c r="DI87" i="1"/>
  <c r="DI89" i="1"/>
  <c r="BI90" i="1"/>
  <c r="BK91" i="1"/>
  <c r="CJ91" i="1"/>
  <c r="K93" i="1"/>
  <c r="DJ93" i="1"/>
  <c r="CJ94" i="1"/>
  <c r="DJ97" i="1"/>
  <c r="CK99" i="1"/>
  <c r="CK101" i="1"/>
  <c r="BI102" i="1"/>
  <c r="N103" i="1"/>
  <c r="BL103" i="1"/>
  <c r="BL105" i="1"/>
  <c r="N107" i="1"/>
  <c r="BL107" i="1"/>
  <c r="BL109" i="1"/>
  <c r="N111" i="1"/>
  <c r="BL111" i="1"/>
  <c r="AM113" i="1"/>
  <c r="CK115" i="1"/>
  <c r="BL117" i="1"/>
  <c r="AH118" i="1"/>
  <c r="O118" i="1" s="1"/>
  <c r="AH158" i="1"/>
  <c r="O158" i="1" s="1"/>
  <c r="BL120" i="1"/>
  <c r="J122" i="1"/>
  <c r="N122" i="1" s="1"/>
  <c r="CK118" i="1"/>
  <c r="J147" i="1"/>
  <c r="J149" i="1"/>
  <c r="J151" i="1"/>
  <c r="L149" i="1"/>
  <c r="BL90" i="1"/>
  <c r="DJ90" i="1"/>
  <c r="BL94" i="1"/>
  <c r="DJ94" i="1"/>
  <c r="BL98" i="1"/>
  <c r="DJ98" i="1"/>
  <c r="N100" i="1"/>
  <c r="AM100" i="1"/>
  <c r="CK100" i="1"/>
  <c r="BL102" i="1"/>
  <c r="DJ102" i="1"/>
  <c r="N104" i="1"/>
  <c r="AM104" i="1"/>
  <c r="CK104" i="1"/>
  <c r="BL106" i="1"/>
  <c r="DJ106" i="1"/>
  <c r="CK108" i="1"/>
  <c r="BL110" i="1"/>
  <c r="DJ110" i="1"/>
  <c r="N138" i="1"/>
  <c r="J146" i="1"/>
  <c r="J150" i="1"/>
  <c r="L146" i="1"/>
  <c r="CK126" i="1" l="1"/>
  <c r="BL126" i="1"/>
  <c r="DJ126" i="1"/>
  <c r="AM126" i="1"/>
  <c r="N117" i="1"/>
  <c r="BL45" i="1"/>
  <c r="CK45" i="1"/>
  <c r="BI37" i="1"/>
  <c r="BI59" i="1"/>
  <c r="AM108" i="1"/>
  <c r="BI58" i="1"/>
  <c r="BI60" i="1"/>
  <c r="BI56" i="1"/>
  <c r="BL53" i="1"/>
  <c r="BI61" i="1"/>
  <c r="BI55" i="1"/>
  <c r="N108" i="1"/>
  <c r="BI78" i="1"/>
  <c r="BI91" i="1"/>
  <c r="DG63" i="1"/>
  <c r="DJ37" i="1"/>
  <c r="DF78" i="1"/>
  <c r="DG78" i="1" s="1"/>
  <c r="CK31" i="1"/>
  <c r="CG38" i="1"/>
  <c r="J58" i="1"/>
  <c r="N58" i="1" s="1"/>
  <c r="U58" i="1"/>
  <c r="AI58" i="1"/>
  <c r="AM58" i="1" s="1"/>
  <c r="BI54" i="1"/>
  <c r="BL54" i="1"/>
  <c r="DG76" i="1"/>
  <c r="DJ76" i="1"/>
  <c r="N53" i="1"/>
  <c r="K56" i="1"/>
  <c r="DF54" i="1"/>
  <c r="DF38" i="1"/>
  <c r="DF85" i="1"/>
  <c r="CG78" i="1"/>
  <c r="CH76" i="1"/>
  <c r="CK76" i="1"/>
  <c r="CH61" i="1"/>
  <c r="CK53" i="1"/>
  <c r="CH60" i="1"/>
  <c r="CH56" i="1"/>
  <c r="BH38" i="1"/>
  <c r="DG59" i="1"/>
  <c r="DG55" i="1"/>
  <c r="DJ53" i="1"/>
  <c r="DG62" i="1"/>
  <c r="DG58" i="1"/>
  <c r="DG56" i="1"/>
  <c r="DJ31" i="1"/>
  <c r="DG31" i="1"/>
  <c r="BL76" i="1"/>
  <c r="BI76" i="1"/>
  <c r="DG91" i="1"/>
  <c r="DJ91" i="1"/>
  <c r="CG54" i="1"/>
  <c r="CH63" i="1"/>
  <c r="CK63" i="1"/>
  <c r="CH59" i="1"/>
  <c r="AM53" i="1"/>
  <c r="AJ56" i="1"/>
  <c r="CH91" i="1"/>
  <c r="CK91" i="1"/>
  <c r="CH62" i="1"/>
  <c r="K55" i="1"/>
  <c r="DG61" i="1"/>
  <c r="BI31" i="1"/>
  <c r="BL31" i="1"/>
  <c r="CK37" i="1"/>
  <c r="CH37" i="1"/>
  <c r="DG45" i="1"/>
  <c r="DJ45" i="1"/>
  <c r="BI63" i="1"/>
  <c r="BL63" i="1"/>
  <c r="CH58" i="1"/>
  <c r="AJ58" i="1" l="1"/>
  <c r="DJ78" i="1"/>
  <c r="BH85" i="1"/>
  <c r="BH57" i="1"/>
  <c r="CH38" i="1"/>
  <c r="CK38" i="1"/>
  <c r="K58" i="1"/>
  <c r="DG38" i="1"/>
  <c r="DJ38" i="1"/>
  <c r="DF57" i="1"/>
  <c r="CH54" i="1"/>
  <c r="CK54" i="1"/>
  <c r="CK78" i="1"/>
  <c r="CH78" i="1"/>
  <c r="DJ85" i="1"/>
  <c r="DG85" i="1"/>
  <c r="BL38" i="1"/>
  <c r="BI38" i="1"/>
  <c r="DJ54" i="1"/>
  <c r="DG54" i="1"/>
  <c r="CG57" i="1"/>
  <c r="CG85" i="1"/>
  <c r="DF92" i="1"/>
  <c r="BL57" i="1" l="1"/>
  <c r="BI57" i="1"/>
  <c r="BH95" i="1"/>
  <c r="BI85" i="1"/>
  <c r="BL85" i="1"/>
  <c r="BH92" i="1"/>
  <c r="BH64" i="1"/>
  <c r="DJ92" i="1"/>
  <c r="DG92" i="1"/>
  <c r="CK85" i="1"/>
  <c r="CH85" i="1"/>
  <c r="CK57" i="1"/>
  <c r="CH57" i="1"/>
  <c r="CG92" i="1"/>
  <c r="CG64" i="1"/>
  <c r="DF64" i="1"/>
  <c r="CG95" i="1"/>
  <c r="DF95" i="1"/>
  <c r="DG57" i="1"/>
  <c r="DJ57" i="1"/>
  <c r="BI92" i="1" l="1"/>
  <c r="BL92" i="1"/>
  <c r="BL64" i="1"/>
  <c r="BI64" i="1"/>
  <c r="BH96" i="1"/>
  <c r="BH133" i="1" s="1"/>
  <c r="BL95" i="1"/>
  <c r="BI95" i="1"/>
  <c r="CH95" i="1"/>
  <c r="CK95" i="1"/>
  <c r="DG64" i="1"/>
  <c r="DJ64" i="1"/>
  <c r="CG96" i="1"/>
  <c r="CG133" i="1" s="1"/>
  <c r="DG95" i="1"/>
  <c r="DJ95" i="1"/>
  <c r="CH64" i="1"/>
  <c r="CK64" i="1"/>
  <c r="CK92" i="1"/>
  <c r="CH92" i="1"/>
  <c r="DF96" i="1"/>
  <c r="DF133" i="1" s="1"/>
  <c r="BL96" i="1" l="1"/>
  <c r="BI96" i="1"/>
  <c r="BI157" i="1" s="1"/>
  <c r="BH119" i="1"/>
  <c r="DF119" i="1"/>
  <c r="DJ96" i="1"/>
  <c r="DG96" i="1"/>
  <c r="DG157" i="1" s="1"/>
  <c r="CG119" i="1"/>
  <c r="CK96" i="1"/>
  <c r="CH96" i="1"/>
  <c r="CH157" i="1" s="1"/>
  <c r="BH123" i="1" l="1"/>
  <c r="BL119" i="1"/>
  <c r="BI119" i="1"/>
  <c r="BI159" i="1" s="1"/>
  <c r="CG123" i="1"/>
  <c r="CK119" i="1"/>
  <c r="CH119" i="1"/>
  <c r="CH159" i="1" s="1"/>
  <c r="DG119" i="1"/>
  <c r="DG159" i="1" s="1"/>
  <c r="DJ119" i="1"/>
  <c r="DF123" i="1"/>
  <c r="BL123" i="1" l="1"/>
  <c r="BI123" i="1"/>
  <c r="BI160" i="1" s="1"/>
  <c r="CH123" i="1"/>
  <c r="CH160" i="1" s="1"/>
  <c r="CK123" i="1"/>
  <c r="DJ123" i="1"/>
  <c r="DG123" i="1"/>
  <c r="DG160" i="1" s="1"/>
  <c r="AI40" i="1" l="1"/>
  <c r="AM40" i="1" s="1"/>
  <c r="U40" i="1"/>
  <c r="J40" i="1"/>
  <c r="K40" i="1" s="1"/>
  <c r="AJ40" i="1" l="1"/>
  <c r="N40" i="1"/>
  <c r="U41" i="1"/>
  <c r="U45" i="1" l="1"/>
  <c r="AI41" i="1"/>
  <c r="J41" i="1"/>
  <c r="J45" i="1"/>
  <c r="AI45" i="1"/>
  <c r="N41" i="1" l="1"/>
  <c r="K41" i="1"/>
  <c r="AJ41" i="1"/>
  <c r="AM41" i="1"/>
  <c r="AI54" i="1"/>
  <c r="AJ54" i="1" s="1"/>
  <c r="U54" i="1"/>
  <c r="J54" i="1"/>
  <c r="AM45" i="1"/>
  <c r="AJ45" i="1"/>
  <c r="K45" i="1"/>
  <c r="N45" i="1"/>
  <c r="AM54" i="1" l="1"/>
  <c r="J57" i="1"/>
  <c r="AI57" i="1"/>
  <c r="U57" i="1"/>
  <c r="K54" i="1"/>
  <c r="N54" i="1"/>
  <c r="AJ57" i="1" l="1"/>
  <c r="AM57" i="1"/>
  <c r="N57" i="1"/>
  <c r="K57" i="1"/>
  <c r="J51" i="1" l="1"/>
  <c r="AI51" i="1" l="1"/>
  <c r="AJ51" i="1" s="1"/>
  <c r="N51" i="1"/>
  <c r="K51" i="1"/>
  <c r="U51" i="1"/>
  <c r="AM51" i="1" l="1"/>
  <c r="J65" i="1" l="1"/>
  <c r="U65" i="1"/>
  <c r="AI65" i="1"/>
  <c r="J87" i="1" l="1"/>
  <c r="N87" i="1" s="1"/>
  <c r="U87" i="1"/>
  <c r="AI87" i="1"/>
  <c r="AM87" i="1" s="1"/>
  <c r="U88" i="1"/>
  <c r="AI88" i="1"/>
  <c r="AM88" i="1" s="1"/>
  <c r="J88" i="1"/>
  <c r="N88" i="1" s="1"/>
  <c r="U89" i="1"/>
  <c r="AI89" i="1"/>
  <c r="AM89" i="1" s="1"/>
  <c r="J89" i="1"/>
  <c r="N89" i="1" s="1"/>
  <c r="K65" i="1"/>
  <c r="N65" i="1"/>
  <c r="AM65" i="1"/>
  <c r="AJ65" i="1"/>
  <c r="J66" i="1"/>
  <c r="AJ87" i="1" l="1"/>
  <c r="K88" i="1"/>
  <c r="K87" i="1"/>
  <c r="AJ89" i="1"/>
  <c r="K89" i="1"/>
  <c r="AJ88" i="1"/>
  <c r="K66" i="1"/>
  <c r="N66" i="1"/>
  <c r="U66" i="1"/>
  <c r="AI66" i="1"/>
  <c r="AJ66" i="1" l="1"/>
  <c r="AM66" i="1"/>
  <c r="AI70" i="1"/>
  <c r="U70" i="1" l="1"/>
  <c r="AJ70" i="1"/>
  <c r="AM70" i="1"/>
  <c r="J70" i="1"/>
  <c r="K70" i="1" l="1"/>
  <c r="N70" i="1"/>
  <c r="J75" i="1"/>
  <c r="N75" i="1" l="1"/>
  <c r="K75" i="1"/>
  <c r="AI75" i="1"/>
  <c r="U75" i="1"/>
  <c r="U76" i="1" l="1"/>
  <c r="AI76" i="1"/>
  <c r="J76" i="1"/>
  <c r="AJ75" i="1"/>
  <c r="AM75" i="1"/>
  <c r="AJ76" i="1" l="1"/>
  <c r="AM76" i="1"/>
  <c r="N76" i="1"/>
  <c r="K76" i="1"/>
  <c r="U78" i="1"/>
  <c r="AI78" i="1"/>
  <c r="J78" i="1"/>
  <c r="AM78" i="1" l="1"/>
  <c r="AJ78" i="1"/>
  <c r="N78" i="1"/>
  <c r="K78" i="1"/>
  <c r="U81" i="1" l="1"/>
  <c r="AI81" i="1"/>
  <c r="J81" i="1"/>
  <c r="AI84" i="1" l="1"/>
  <c r="J84" i="1"/>
  <c r="K81" i="1"/>
  <c r="N81" i="1"/>
  <c r="AM81" i="1"/>
  <c r="AJ81" i="1"/>
  <c r="J85" i="1"/>
  <c r="U85" i="1"/>
  <c r="AI85" i="1"/>
  <c r="N84" i="1" l="1"/>
  <c r="K84" i="1"/>
  <c r="AJ85" i="1"/>
  <c r="AM85" i="1"/>
  <c r="K85" i="1"/>
  <c r="N85" i="1"/>
  <c r="U86" i="1" l="1"/>
  <c r="J86" i="1" l="1"/>
  <c r="AI86" i="1"/>
  <c r="AM86" i="1" l="1"/>
  <c r="AJ86" i="1"/>
  <c r="N86" i="1"/>
  <c r="K86" i="1"/>
  <c r="U90" i="1"/>
  <c r="Q91" i="1" l="1"/>
  <c r="Q92" i="1" s="1"/>
  <c r="U92" i="1" s="1"/>
  <c r="J90" i="1"/>
  <c r="N90" i="1" s="1"/>
  <c r="AI90" i="1"/>
  <c r="J91" i="1" l="1"/>
  <c r="N91" i="1" s="1"/>
  <c r="R91" i="1"/>
  <c r="U91" i="1"/>
  <c r="AI91" i="1"/>
  <c r="AJ91" i="1" s="1"/>
  <c r="R92" i="1"/>
  <c r="AI92" i="1"/>
  <c r="AJ92" i="1" s="1"/>
  <c r="J92" i="1"/>
  <c r="K92" i="1" s="1"/>
  <c r="K90" i="1"/>
  <c r="AJ90" i="1"/>
  <c r="AM90" i="1"/>
  <c r="K91" i="1" l="1"/>
  <c r="AM91" i="1"/>
  <c r="AM92" i="1"/>
  <c r="N92" i="1"/>
  <c r="U26" i="1" l="1"/>
  <c r="U27" i="1"/>
  <c r="J26" i="1"/>
  <c r="N26" i="1" s="1"/>
  <c r="U30" i="1"/>
  <c r="J27" i="1"/>
  <c r="K27" i="1" s="1"/>
  <c r="U29" i="1"/>
  <c r="J29" i="1"/>
  <c r="K29" i="1" s="1"/>
  <c r="U25" i="1"/>
  <c r="AI27" i="1"/>
  <c r="AM27" i="1" s="1"/>
  <c r="J25" i="1"/>
  <c r="N25" i="1" s="1"/>
  <c r="AI25" i="1"/>
  <c r="AM25" i="1" s="1"/>
  <c r="AI30" i="1"/>
  <c r="AM30" i="1" s="1"/>
  <c r="AJ30" i="1"/>
  <c r="U28" i="1"/>
  <c r="J28" i="1"/>
  <c r="N28" i="1" s="1"/>
  <c r="AI28" i="1"/>
  <c r="AJ28" i="1" s="1"/>
  <c r="J30" i="1"/>
  <c r="N30" i="1" s="1"/>
  <c r="AI26" i="1"/>
  <c r="AJ26" i="1" s="1"/>
  <c r="AI29" i="1"/>
  <c r="AM29" i="1" s="1"/>
  <c r="J31" i="1"/>
  <c r="K31" i="1" s="1"/>
  <c r="Q95" i="1"/>
  <c r="AI95" i="1" s="1"/>
  <c r="AJ29" i="1" l="1"/>
  <c r="N29" i="1"/>
  <c r="K25" i="1"/>
  <c r="K30" i="1"/>
  <c r="AM95" i="1"/>
  <c r="AJ95" i="1"/>
  <c r="N31" i="1"/>
  <c r="AM26" i="1"/>
  <c r="AJ25" i="1"/>
  <c r="K26" i="1"/>
  <c r="U95" i="1"/>
  <c r="AI31" i="1"/>
  <c r="N27" i="1"/>
  <c r="R95" i="1"/>
  <c r="AM28" i="1"/>
  <c r="U31" i="1"/>
  <c r="AJ27" i="1"/>
  <c r="K28" i="1"/>
  <c r="J95" i="1"/>
  <c r="K95" i="1" l="1"/>
  <c r="N95" i="1"/>
  <c r="AM31" i="1"/>
  <c r="AJ31" i="1"/>
  <c r="U22" i="1" l="1"/>
  <c r="U23" i="1"/>
  <c r="U24" i="1"/>
  <c r="AI22" i="1"/>
  <c r="AM22" i="1" s="1"/>
  <c r="J22" i="1"/>
  <c r="N22" i="1" s="1"/>
  <c r="J23" i="1"/>
  <c r="N23" i="1" s="1"/>
  <c r="AI23" i="1"/>
  <c r="AJ23" i="1" s="1"/>
  <c r="AI24" i="1"/>
  <c r="AJ24" i="1" s="1"/>
  <c r="J24" i="1"/>
  <c r="N24" i="1" s="1"/>
  <c r="AM23" i="1" l="1"/>
  <c r="K23" i="1"/>
  <c r="K24" i="1"/>
  <c r="K22" i="1"/>
  <c r="AM24" i="1"/>
  <c r="AJ22" i="1"/>
  <c r="U97" i="1"/>
  <c r="J97" i="1"/>
  <c r="K97" i="1" s="1"/>
  <c r="AI97" i="1"/>
  <c r="AM97" i="1" s="1"/>
  <c r="Q102" i="1"/>
  <c r="R102" i="1" s="1"/>
  <c r="N97" i="1" l="1"/>
  <c r="AI102" i="1"/>
  <c r="AM102" i="1" s="1"/>
  <c r="J102" i="1"/>
  <c r="N102" i="1" s="1"/>
  <c r="Q118" i="1"/>
  <c r="AI118" i="1" s="1"/>
  <c r="AJ118" i="1" s="1"/>
  <c r="AJ158" i="1" s="1"/>
  <c r="AJ102" i="1"/>
  <c r="AJ97" i="1"/>
  <c r="U102" i="1"/>
  <c r="K102" i="1" l="1"/>
  <c r="J118" i="1"/>
  <c r="J158" i="1" s="1"/>
  <c r="N158" i="1" s="1"/>
  <c r="Q158" i="1"/>
  <c r="AI158" i="1" s="1"/>
  <c r="AM158" i="1" s="1"/>
  <c r="AM118" i="1"/>
  <c r="U118" i="1"/>
  <c r="R118" i="1"/>
  <c r="R158" i="1" s="1"/>
  <c r="U158" i="1" l="1"/>
  <c r="K118" i="1"/>
  <c r="K158" i="1" s="1"/>
  <c r="N118" i="1"/>
  <c r="U59" i="1"/>
  <c r="J59" i="1"/>
  <c r="K59" i="1" s="1"/>
  <c r="AI59" i="1"/>
  <c r="AM59" i="1" s="1"/>
  <c r="AJ59" i="1" l="1"/>
  <c r="N59" i="1"/>
  <c r="U60" i="1"/>
  <c r="AI60" i="1"/>
  <c r="AM60" i="1" s="1"/>
  <c r="J60" i="1"/>
  <c r="N60" i="1" s="1"/>
  <c r="U61" i="1"/>
  <c r="AI61" i="1"/>
  <c r="AJ61" i="1" s="1"/>
  <c r="J61" i="1"/>
  <c r="K61" i="1" s="1"/>
  <c r="AJ60" i="1" l="1"/>
  <c r="N61" i="1"/>
  <c r="K60" i="1"/>
  <c r="AM61" i="1"/>
  <c r="U62" i="1"/>
  <c r="U64" i="1"/>
  <c r="J64" i="1"/>
  <c r="N64" i="1" s="1"/>
  <c r="J62" i="1"/>
  <c r="N62" i="1" s="1"/>
  <c r="U63" i="1"/>
  <c r="J63" i="1"/>
  <c r="N63" i="1" s="1"/>
  <c r="AI63" i="1"/>
  <c r="AJ63" i="1" s="1"/>
  <c r="AI62" i="1"/>
  <c r="AM62" i="1" s="1"/>
  <c r="K63" i="1" l="1"/>
  <c r="K62" i="1"/>
  <c r="K64" i="1"/>
  <c r="AJ62" i="1"/>
  <c r="AI64" i="1"/>
  <c r="AM63" i="1"/>
  <c r="AJ64" i="1" l="1"/>
  <c r="AM64" i="1"/>
  <c r="U33" i="1"/>
  <c r="J33" i="1"/>
  <c r="N33" i="1" s="1"/>
  <c r="AI33" i="1"/>
  <c r="AM33" i="1" s="1"/>
  <c r="K33" i="1" l="1"/>
  <c r="AJ33" i="1"/>
  <c r="U34" i="1"/>
  <c r="AI34" i="1"/>
  <c r="AM34" i="1" s="1"/>
  <c r="J34" i="1"/>
  <c r="N34" i="1" s="1"/>
  <c r="K34" i="1" l="1"/>
  <c r="AJ34" i="1"/>
  <c r="U35" i="1"/>
  <c r="AI35" i="1"/>
  <c r="AM35" i="1" s="1"/>
  <c r="J35" i="1"/>
  <c r="N35" i="1" s="1"/>
  <c r="AJ35" i="1" l="1"/>
  <c r="K35" i="1"/>
  <c r="U36" i="1"/>
  <c r="U38" i="1"/>
  <c r="AI36" i="1"/>
  <c r="AM36" i="1" s="1"/>
  <c r="J36" i="1"/>
  <c r="N36" i="1" s="1"/>
  <c r="U37" i="1"/>
  <c r="J38" i="1"/>
  <c r="Q96" i="1"/>
  <c r="R96" i="1" s="1"/>
  <c r="R157" i="1" s="1"/>
  <c r="AJ36" i="1" l="1"/>
  <c r="K36" i="1"/>
  <c r="K38" i="1"/>
  <c r="N38" i="1"/>
  <c r="Q157" i="1"/>
  <c r="Q119" i="1"/>
  <c r="Q133" i="1"/>
  <c r="AI38" i="1"/>
  <c r="U96" i="1"/>
  <c r="J96" i="1"/>
  <c r="AI96" i="1"/>
  <c r="J37" i="1"/>
  <c r="AI37" i="1"/>
  <c r="N37" i="1" l="1"/>
  <c r="K37" i="1"/>
  <c r="AM38" i="1"/>
  <c r="AJ38" i="1"/>
  <c r="AJ37" i="1"/>
  <c r="AM37" i="1"/>
  <c r="J119" i="1"/>
  <c r="Q123" i="1"/>
  <c r="U119" i="1"/>
  <c r="Q159" i="1"/>
  <c r="AI119" i="1"/>
  <c r="R119" i="1"/>
  <c r="R159" i="1" s="1"/>
  <c r="U157" i="1"/>
  <c r="AI157" i="1"/>
  <c r="AM157" i="1" s="1"/>
  <c r="AI133" i="1"/>
  <c r="AJ96" i="1"/>
  <c r="AJ157" i="1" s="1"/>
  <c r="AM96" i="1"/>
  <c r="J133" i="1"/>
  <c r="K96" i="1"/>
  <c r="K157" i="1" s="1"/>
  <c r="N96" i="1"/>
  <c r="J157" i="1"/>
  <c r="N157" i="1" s="1"/>
  <c r="J159" i="1" l="1"/>
  <c r="N159" i="1" s="1"/>
  <c r="K119" i="1"/>
  <c r="K159" i="1" s="1"/>
  <c r="N119" i="1"/>
  <c r="AI159" i="1"/>
  <c r="AM159" i="1" s="1"/>
  <c r="U159" i="1"/>
  <c r="Q160" i="1"/>
  <c r="J123" i="1"/>
  <c r="R123" i="1"/>
  <c r="R160" i="1" s="1"/>
  <c r="U123" i="1"/>
  <c r="AI123" i="1"/>
  <c r="AJ119" i="1"/>
  <c r="AJ159" i="1" s="1"/>
  <c r="AM119" i="1"/>
  <c r="K123" i="1" l="1"/>
  <c r="K160" i="1" s="1"/>
  <c r="J160" i="1"/>
  <c r="N160" i="1" s="1"/>
  <c r="N123" i="1"/>
  <c r="AI160" i="1"/>
  <c r="AM160" i="1" s="1"/>
  <c r="U160" i="1"/>
  <c r="AJ123" i="1"/>
  <c r="AJ160" i="1" s="1"/>
  <c r="AM123" i="1"/>
</calcChain>
</file>

<file path=xl/comments1.xml><?xml version="1.0" encoding="utf-8"?>
<comments xmlns="http://schemas.openxmlformats.org/spreadsheetml/2006/main">
  <authors>
    <author>大江 啓之</author>
  </authors>
  <commentList>
    <comment ref="B155" authorId="0" shapeId="0">
      <text>
        <r>
          <rPr>
            <sz val="12"/>
            <color indexed="81"/>
            <rFont val="ＭＳ Ｐゴシック"/>
            <family val="3"/>
            <charset val="128"/>
          </rPr>
          <t>サービス管理顧客数と同数</t>
        </r>
      </text>
    </comment>
  </commentList>
</comments>
</file>

<file path=xl/sharedStrings.xml><?xml version="1.0" encoding="utf-8"?>
<sst xmlns="http://schemas.openxmlformats.org/spreadsheetml/2006/main" count="292" uniqueCount="164">
  <si>
    <t>予算表</t>
  </si>
  <si>
    <t>期：</t>
  </si>
  <si>
    <t>部署：</t>
  </si>
  <si>
    <t>項目</t>
  </si>
  <si>
    <t>年間計</t>
  </si>
  <si>
    <t>１０月</t>
  </si>
  <si>
    <t>１１月</t>
  </si>
  <si>
    <t>１２月</t>
  </si>
  <si>
    <t>１０月～１２月合計</t>
  </si>
  <si>
    <t>１月</t>
  </si>
  <si>
    <t>２月</t>
  </si>
  <si>
    <t>３月</t>
  </si>
  <si>
    <t>１月～３月合計</t>
  </si>
  <si>
    <t>４月</t>
  </si>
  <si>
    <t>５月</t>
  </si>
  <si>
    <t>６月</t>
  </si>
  <si>
    <t>４月～６月合計</t>
  </si>
  <si>
    <t>７月</t>
  </si>
  <si>
    <t>８月</t>
  </si>
  <si>
    <t>９月</t>
  </si>
  <si>
    <t>７月～９月合計</t>
  </si>
  <si>
    <t>LineNo</t>
  </si>
  <si>
    <t>計画</t>
  </si>
  <si>
    <t>指標</t>
  </si>
  <si>
    <t>前年実績</t>
  </si>
  <si>
    <t>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</si>
  <si>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</si>
  <si>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</si>
  <si>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</si>
  <si>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</si>
  <si>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</si>
  <si>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</si>
  <si>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</si>
  <si>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</si>
  <si>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</si>
  <si>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</si>
  <si>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</si>
  <si>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</si>
  <si>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</si>
  <si>
    <t>新車台数</t>
  </si>
  <si>
    <t>新車登録台数</t>
  </si>
  <si>
    <t>売上金額（架装売上含む）</t>
  </si>
  <si>
    <t>＜内車両値引＞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</si>
  <si>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</si>
  <si>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</si>
  <si>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</si>
  <si>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</si>
  <si>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</si>
  <si>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</si>
  <si>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</si>
  <si>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</si>
  <si>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</si>
  <si>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</si>
  <si>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</si>
  <si>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</si>
  <si>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</si>
  <si>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小計</t>
  </si>
  <si>
    <t>新車限界利益</t>
  </si>
  <si>
    <t>中古車</t>
  </si>
  <si>
    <t>直売</t>
  </si>
  <si>
    <t>直売台数</t>
  </si>
  <si>
    <t>売上金額</t>
  </si>
  <si>
    <t>直売総粗利</t>
  </si>
  <si>
    <t>業売</t>
  </si>
  <si>
    <t>業売台数</t>
  </si>
  <si>
    <t>業売売上</t>
  </si>
  <si>
    <t>業売放出台数</t>
  </si>
  <si>
    <t>業売放出売上</t>
  </si>
  <si>
    <t>業売スクラップ台数</t>
  </si>
  <si>
    <t>業売スクラップ売上</t>
  </si>
  <si>
    <t>業販粗利益</t>
  </si>
  <si>
    <t>台数合計</t>
  </si>
  <si>
    <t>粗利益計</t>
  </si>
  <si>
    <t>再生員給与</t>
  </si>
  <si>
    <t>中古車粗利合計</t>
  </si>
  <si>
    <t>中古車限界利益</t>
  </si>
  <si>
    <t>整備</t>
  </si>
  <si>
    <t>＜内値引＞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</si>
  <si>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</si>
  <si>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</si>
  <si>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</si>
  <si>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</si>
  <si>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</si>
  <si>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</si>
  <si>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</si>
  <si>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</si>
  <si>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</si>
  <si>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</si>
  <si>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</si>
  <si>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割賦・クレジット・利益</t>
  </si>
  <si>
    <t>サービス員給与</t>
  </si>
  <si>
    <t>整備限界利益</t>
  </si>
  <si>
    <t>保険収入手数料</t>
  </si>
  <si>
    <t>その他収手及び商品利益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</si>
  <si>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</si>
  <si>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</si>
  <si>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</si>
  <si>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</si>
  <si>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</si>
  <si>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</si>
  <si>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</si>
  <si>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</si>
  <si>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</si>
  <si>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</si>
  <si>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</si>
  <si>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</si>
  <si>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</si>
  <si>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</si>
  <si>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</si>
  <si>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</si>
  <si>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</si>
  <si>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</si>
  <si>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</si>
  <si>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</si>
  <si>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</si>
  <si>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</si>
  <si>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</si>
  <si>
    <t>営業利益</t>
  </si>
  <si>
    <t>営業外</t>
  </si>
  <si>
    <t>収入</t>
  </si>
  <si>
    <t>費用</t>
  </si>
  <si>
    <t>収支尻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</si>
  <si>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</si>
  <si>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</si>
  <si>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</si>
  <si>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</si>
  <si>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</si>
  <si>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</si>
  <si>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</si>
  <si>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</si>
  <si>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</si>
  <si>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</si>
  <si>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</si>
  <si>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</si>
  <si>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</si>
  <si>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</si>
  <si>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新規獲得件数</t>
  </si>
  <si>
    <t>継続対象件数</t>
  </si>
  <si>
    <t>継続件数</t>
  </si>
  <si>
    <t>車両保険件数</t>
  </si>
  <si>
    <t>収保</t>
  </si>
  <si>
    <t>早期更改件数</t>
  </si>
  <si>
    <t>長期分割件数</t>
  </si>
  <si>
    <t>総件数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</si>
  <si>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</si>
  <si>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</si>
  <si>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</si>
  <si>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</si>
  <si>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</si>
  <si>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</si>
  <si>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</si>
  <si>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</si>
  <si>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新車保有台数</t>
  </si>
  <si>
    <t>整備カルテ枚数</t>
  </si>
  <si>
    <t>再生員人数</t>
  </si>
  <si>
    <t>総限界利益計</t>
  </si>
  <si>
    <t>固定費</t>
  </si>
  <si>
    <t>車検獲得率</t>
    <phoneticPr fontId="15"/>
  </si>
  <si>
    <t>無償</t>
    <rPh sb="0" eb="2">
      <t>ムショウ</t>
    </rPh>
    <phoneticPr fontId="15"/>
  </si>
  <si>
    <t>整備総粗利</t>
    <phoneticPr fontId="15"/>
  </si>
  <si>
    <t>整備総粗利(サ給与除く)</t>
    <rPh sb="7" eb="9">
      <t>キュウヨ</t>
    </rPh>
    <rPh sb="9" eb="10">
      <t>ノゾ</t>
    </rPh>
    <phoneticPr fontId="15"/>
  </si>
  <si>
    <t>新車</t>
    <phoneticPr fontId="15"/>
  </si>
  <si>
    <t>サービス管理顧客数</t>
    <phoneticPr fontId="15"/>
  </si>
  <si>
    <t>＜内福祉登録台数＞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</si>
</sst>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#,##0_ "/>
    <numFmt numFmtId="177" formatCode="_ * #,##0.0_ ;_ * \-#,##0.0_ ;_ * &quot;-&quot;?_ ;_ @_ "/>
    <numFmt numFmtId="178" formatCode="0.00_ "/>
    <numFmt numFmtId="179" formatCode="#,###"/>
    <numFmt numFmtId="180" formatCode="#,##0.0_ "/>
  </numFmts>
  <fonts count="18" x14ac:knownFonts="1">
    <font>
      <sz val="11"/>
      <color rgb="FF000000"/>
      <name val="ＭＳ Ｐゴシック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color rgb="FF000000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4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6"/>
      <color rgb="FF000000"/>
      <name val="MS UI Gothic"/>
      <family val="3"/>
      <charset val="128"/>
    </font>
    <font>
      <b/>
      <sz val="16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E5DFE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43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medium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ck">
        <color theme="3" tint="0.399945066682943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thin">
        <color rgb="FF000000"/>
      </bottom>
      <diagonal/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theme="3" tint="0.39988402966399123"/>
      </left>
      <right style="thick">
        <color theme="3" tint="0.39988402966399123"/>
      </right>
      <top style="thick">
        <color theme="3" tint="0.39988402966399123"/>
      </top>
      <bottom style="thin">
        <color rgb="FF000000"/>
      </bottom>
      <diagonal/>
    </border>
    <border>
      <left style="thick">
        <color theme="3" tint="0.39988402966399123"/>
      </left>
      <right style="thick">
        <color theme="3" tint="0.39988402966399123"/>
      </right>
      <top style="thin">
        <color rgb="FF000000"/>
      </top>
      <bottom style="thick">
        <color theme="3" tint="0.39988402966399123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88402966399123"/>
      </top>
      <bottom style="thick">
        <color theme="3" tint="0.39991454817346722"/>
      </bottom>
      <diagonal/>
    </border>
    <border>
      <left style="medium">
        <color auto="1"/>
      </left>
      <right style="thin">
        <color auto="1"/>
      </right>
      <top style="thick">
        <color theme="3" tint="0.39988402966399123"/>
      </top>
      <bottom style="thick">
        <color theme="3" tint="0.39988402966399123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1454817346722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 style="thick">
        <color theme="4"/>
      </left>
      <right style="thick">
        <color theme="3" tint="0.39991454817346722"/>
      </right>
      <top style="thick">
        <color theme="3" tint="0.39991454817346722"/>
      </top>
      <bottom style="thin">
        <color rgb="FF000000"/>
      </bottom>
      <diagonal/>
    </border>
    <border>
      <left style="thick">
        <color theme="4"/>
      </left>
      <right style="thick">
        <color theme="3" tint="0.39991454817346722"/>
      </right>
      <top style="thin">
        <color rgb="FF000000"/>
      </top>
      <bottom style="thin">
        <color rgb="FF000000"/>
      </bottom>
      <diagonal/>
    </border>
    <border>
      <left style="thick">
        <color theme="4"/>
      </left>
      <right style="thick">
        <color theme="3" tint="0.39991454817346722"/>
      </right>
      <top style="thin">
        <color rgb="FF000000"/>
      </top>
      <bottom style="thick">
        <color theme="3" tint="0.39991454817346722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ck">
        <color theme="3" tint="0.39991454817346722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rgb="FF7891B0"/>
      </bottom>
      <diagonal/>
    </border>
    <border>
      <left style="thick">
        <color theme="4"/>
      </left>
      <right style="thick">
        <color theme="4"/>
      </right>
      <top style="thin">
        <color rgb="FF7891B0"/>
      </top>
      <bottom style="thin">
        <color rgb="FF7891B0"/>
      </bottom>
      <diagonal/>
    </border>
    <border>
      <left style="thick">
        <color theme="4"/>
      </left>
      <right style="thick">
        <color theme="4"/>
      </right>
      <top style="thin">
        <color rgb="FF7891B0"/>
      </top>
      <bottom style="thick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theme="4"/>
      </left>
      <right style="thick">
        <color theme="4"/>
      </right>
      <top style="thin">
        <color rgb="FF000000"/>
      </top>
      <bottom style="thin">
        <color rgb="FF000000"/>
      </bottom>
      <diagonal/>
    </border>
    <border>
      <left style="thick">
        <color theme="4"/>
      </left>
      <right style="thick">
        <color theme="4"/>
      </right>
      <top style="thin">
        <color rgb="FF000000"/>
      </top>
      <bottom style="thick">
        <color theme="4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medium">
        <color auto="1"/>
      </bottom>
      <diagonal/>
    </border>
    <border>
      <left style="thick">
        <color rgb="FF7891B0"/>
      </left>
      <right style="thick">
        <color rgb="FF7891B0"/>
      </right>
      <top style="medium">
        <color rgb="FF00000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ck">
        <color rgb="FF7891B0"/>
      </bottom>
      <diagonal/>
    </border>
    <border>
      <left style="thick">
        <color rgb="FF7891B0"/>
      </left>
      <right style="thick">
        <color rgb="FF7891B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/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ck">
        <color rgb="FF7891B0"/>
      </top>
      <bottom style="thick">
        <color rgb="FF7891B0"/>
      </bottom>
      <diagonal/>
    </border>
  </borders>
  <cellStyleXfs count="1">
    <xf numFmtId="0" fontId="0" fillId="0" borderId="0"/>
  </cellStyleXfs>
  <cellXfs count="786">
    <xf numFmtId="0" fontId="0" fillId="2" borderId="0" xfId="0" applyFill="1"/>
    <xf numFmtId="0" fontId="0" fillId="2" borderId="0" xfId="0" applyFill="1" applyAlignment="1">
      <alignment vertical="center"/>
    </xf>
    <xf numFmtId="176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right" vertical="center"/>
    </xf>
    <xf numFmtId="177" fontId="5" fillId="2" borderId="2" xfId="0" applyNumberFormat="1" applyFont="1" applyFill="1" applyBorder="1" applyAlignment="1">
      <alignment vertical="center" shrinkToFit="1"/>
    </xf>
    <xf numFmtId="177" fontId="5" fillId="2" borderId="3" xfId="0" applyNumberFormat="1" applyFont="1" applyFill="1" applyBorder="1" applyAlignment="1">
      <alignment vertical="center" shrinkToFit="1"/>
    </xf>
    <xf numFmtId="177" fontId="5" fillId="2" borderId="4" xfId="0" applyNumberFormat="1" applyFont="1" applyFill="1" applyBorder="1" applyAlignment="1">
      <alignment vertical="center" shrinkToFit="1"/>
    </xf>
    <xf numFmtId="177" fontId="5" fillId="2" borderId="5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4" xfId="0" applyNumberFormat="1" applyFont="1" applyFill="1" applyBorder="1" applyAlignment="1">
      <alignment vertical="center" shrinkToFit="1"/>
    </xf>
    <xf numFmtId="177" fontId="5" fillId="2" borderId="7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5" borderId="7" xfId="0" applyNumberFormat="1" applyFont="1" applyFill="1" applyBorder="1" applyAlignment="1">
      <alignment vertical="center" shrinkToFit="1"/>
    </xf>
    <xf numFmtId="177" fontId="5" fillId="4" borderId="7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2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8" xfId="0" applyNumberFormat="1" applyFont="1" applyFill="1" applyBorder="1" applyAlignment="1">
      <alignment vertical="center" shrinkToFit="1"/>
    </xf>
    <xf numFmtId="177" fontId="5" fillId="4" borderId="9" xfId="0" applyNumberFormat="1" applyFont="1" applyFill="1" applyBorder="1" applyAlignment="1">
      <alignment vertical="center" shrinkToFit="1"/>
    </xf>
    <xf numFmtId="177" fontId="5" fillId="5" borderId="4" xfId="0" applyNumberFormat="1" applyFont="1" applyFill="1" applyBorder="1" applyAlignment="1">
      <alignment vertical="center" shrinkToFit="1"/>
    </xf>
    <xf numFmtId="177" fontId="5" fillId="5" borderId="1" xfId="0" applyNumberFormat="1" applyFont="1" applyFill="1" applyBorder="1" applyAlignment="1">
      <alignment vertical="center" shrinkToFit="1"/>
    </xf>
    <xf numFmtId="177" fontId="5" fillId="4" borderId="5" xfId="0" applyNumberFormat="1" applyFont="1" applyFill="1" applyBorder="1" applyAlignment="1">
      <alignment vertical="center" shrinkToFit="1"/>
    </xf>
    <xf numFmtId="177" fontId="1" fillId="2" borderId="0" xfId="0" applyNumberFormat="1" applyFont="1" applyFill="1" applyAlignment="1">
      <alignment vertical="center" shrinkToFit="1"/>
    </xf>
    <xf numFmtId="177" fontId="6" fillId="2" borderId="0" xfId="0" applyNumberFormat="1" applyFont="1" applyFill="1" applyAlignment="1">
      <alignment shrinkToFit="1"/>
    </xf>
    <xf numFmtId="177" fontId="6" fillId="2" borderId="10" xfId="0" applyNumberFormat="1" applyFont="1" applyFill="1" applyBorder="1" applyAlignment="1">
      <alignment vertical="center" shrinkToFit="1"/>
    </xf>
    <xf numFmtId="177" fontId="6" fillId="2" borderId="2" xfId="0" applyNumberFormat="1" applyFont="1" applyFill="1" applyBorder="1" applyAlignment="1">
      <alignment vertical="center" shrinkToFit="1"/>
    </xf>
    <xf numFmtId="177" fontId="6" fillId="2" borderId="11" xfId="0" applyNumberFormat="1" applyFont="1" applyFill="1" applyBorder="1" applyAlignment="1">
      <alignment vertical="center" shrinkToFit="1"/>
    </xf>
    <xf numFmtId="177" fontId="6" fillId="2" borderId="3" xfId="0" applyNumberFormat="1" applyFont="1" applyFill="1" applyBorder="1" applyAlignment="1">
      <alignment vertical="center" shrinkToFit="1"/>
    </xf>
    <xf numFmtId="177" fontId="6" fillId="2" borderId="12" xfId="0" applyNumberFormat="1" applyFont="1" applyFill="1" applyBorder="1" applyAlignment="1">
      <alignment vertical="center" shrinkToFit="1"/>
    </xf>
    <xf numFmtId="177" fontId="6" fillId="2" borderId="4" xfId="0" applyNumberFormat="1" applyFont="1" applyFill="1" applyBorder="1" applyAlignment="1">
      <alignment vertical="center" shrinkToFit="1"/>
    </xf>
    <xf numFmtId="177" fontId="5" fillId="6" borderId="3" xfId="0" applyNumberFormat="1" applyFont="1" applyFill="1" applyBorder="1" applyAlignment="1">
      <alignment vertical="center" shrinkToFit="1"/>
    </xf>
    <xf numFmtId="177" fontId="5" fillId="2" borderId="13" xfId="0" applyNumberFormat="1" applyFont="1" applyFill="1" applyBorder="1" applyAlignment="1">
      <alignment vertical="center" shrinkToFi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76" fontId="7" fillId="2" borderId="1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horizontal="center"/>
    </xf>
    <xf numFmtId="176" fontId="7" fillId="2" borderId="2" xfId="0" applyNumberFormat="1" applyFont="1" applyFill="1" applyBorder="1" applyAlignment="1">
      <alignment vertical="center" shrinkToFit="1"/>
    </xf>
    <xf numFmtId="176" fontId="7" fillId="2" borderId="11" xfId="0" applyNumberFormat="1" applyFont="1" applyFill="1" applyBorder="1" applyAlignment="1">
      <alignment vertical="center" shrinkToFit="1"/>
    </xf>
    <xf numFmtId="176" fontId="7" fillId="2" borderId="3" xfId="0" applyNumberFormat="1" applyFont="1" applyFill="1" applyBorder="1" applyAlignment="1">
      <alignment vertical="center" shrinkToFit="1"/>
    </xf>
    <xf numFmtId="176" fontId="7" fillId="2" borderId="12" xfId="0" applyNumberFormat="1" applyFont="1" applyFill="1" applyBorder="1" applyAlignment="1">
      <alignment vertical="center" shrinkToFit="1"/>
    </xf>
    <xf numFmtId="176" fontId="7" fillId="2" borderId="0" xfId="0" applyNumberFormat="1" applyFont="1" applyFill="1" applyAlignment="1">
      <alignment shrinkToFit="1"/>
    </xf>
    <xf numFmtId="176" fontId="7" fillId="2" borderId="4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4" xfId="0" applyNumberFormat="1" applyFont="1" applyFill="1" applyBorder="1" applyAlignment="1">
      <alignment vertical="center" shrinkToFit="1"/>
    </xf>
    <xf numFmtId="176" fontId="7" fillId="2" borderId="7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5" borderId="7" xfId="0" applyNumberFormat="1" applyFont="1" applyFill="1" applyBorder="1" applyAlignment="1">
      <alignment vertical="center" shrinkToFit="1"/>
    </xf>
    <xf numFmtId="176" fontId="7" fillId="4" borderId="7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2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8" xfId="0" applyNumberFormat="1" applyFont="1" applyFill="1" applyBorder="1" applyAlignment="1">
      <alignment vertical="center" shrinkToFit="1"/>
    </xf>
    <xf numFmtId="176" fontId="7" fillId="4" borderId="9" xfId="0" applyNumberFormat="1" applyFont="1" applyFill="1" applyBorder="1" applyAlignment="1">
      <alignment vertical="center" shrinkToFit="1"/>
    </xf>
    <xf numFmtId="176" fontId="7" fillId="5" borderId="4" xfId="0" applyNumberFormat="1" applyFont="1" applyFill="1" applyBorder="1" applyAlignment="1">
      <alignment vertical="center" shrinkToFit="1"/>
    </xf>
    <xf numFmtId="176" fontId="7" fillId="5" borderId="1" xfId="0" applyNumberFormat="1" applyFont="1" applyFill="1" applyBorder="1" applyAlignment="1">
      <alignment vertical="center" shrinkToFit="1"/>
    </xf>
    <xf numFmtId="176" fontId="7" fillId="4" borderId="5" xfId="0" applyNumberFormat="1" applyFont="1" applyFill="1" applyBorder="1" applyAlignment="1">
      <alignment vertical="center" shrinkToFit="1"/>
    </xf>
    <xf numFmtId="177" fontId="2" fillId="2" borderId="0" xfId="0" applyNumberFormat="1" applyFont="1" applyFill="1" applyAlignment="1">
      <alignment vertical="center" shrinkToFit="1"/>
    </xf>
    <xf numFmtId="177" fontId="2" fillId="2" borderId="0" xfId="0" applyNumberFormat="1" applyFont="1" applyFill="1" applyAlignment="1">
      <alignment shrinkToFit="1"/>
    </xf>
    <xf numFmtId="177" fontId="8" fillId="2" borderId="0" xfId="0" applyNumberFormat="1" applyFont="1" applyFill="1" applyAlignment="1">
      <alignment shrinkToFit="1"/>
    </xf>
    <xf numFmtId="177" fontId="8" fillId="2" borderId="2" xfId="0" applyNumberFormat="1" applyFont="1" applyFill="1" applyBorder="1" applyAlignment="1">
      <alignment vertical="center" shrinkToFit="1"/>
    </xf>
    <xf numFmtId="177" fontId="8" fillId="2" borderId="3" xfId="0" applyNumberFormat="1" applyFont="1" applyFill="1" applyBorder="1" applyAlignment="1">
      <alignment vertical="center" shrinkToFit="1"/>
    </xf>
    <xf numFmtId="177" fontId="8" fillId="2" borderId="4" xfId="0" applyNumberFormat="1" applyFont="1" applyFill="1" applyBorder="1" applyAlignment="1">
      <alignment vertical="center" shrinkToFit="1"/>
    </xf>
    <xf numFmtId="177" fontId="7" fillId="2" borderId="2" xfId="0" applyNumberFormat="1" applyFont="1" applyFill="1" applyBorder="1" applyAlignment="1">
      <alignment vertical="center" shrinkToFit="1"/>
    </xf>
    <xf numFmtId="177" fontId="7" fillId="2" borderId="0" xfId="0" applyNumberFormat="1" applyFont="1" applyFill="1" applyAlignment="1">
      <alignment shrinkToFit="1"/>
    </xf>
    <xf numFmtId="177" fontId="7" fillId="2" borderId="3" xfId="0" applyNumberFormat="1" applyFont="1" applyFill="1" applyBorder="1" applyAlignment="1">
      <alignment vertical="center" shrinkToFit="1"/>
    </xf>
    <xf numFmtId="177" fontId="7" fillId="2" borderId="4" xfId="0" applyNumberFormat="1" applyFont="1" applyFill="1" applyBorder="1" applyAlignment="1">
      <alignment vertical="center" shrinkToFit="1"/>
    </xf>
    <xf numFmtId="177" fontId="7" fillId="2" borderId="8" xfId="0" applyNumberFormat="1" applyFont="1" applyFill="1" applyBorder="1" applyAlignment="1">
      <alignment vertical="center" shrinkToFit="1"/>
    </xf>
    <xf numFmtId="177" fontId="7" fillId="6" borderId="3" xfId="0" applyNumberFormat="1" applyFont="1" applyFill="1" applyBorder="1" applyAlignment="1">
      <alignment vertical="center" shrinkToFit="1"/>
    </xf>
    <xf numFmtId="177" fontId="7" fillId="6" borderId="0" xfId="0" applyNumberFormat="1" applyFont="1" applyFill="1" applyAlignment="1">
      <alignment shrinkToFi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2" fillId="7" borderId="14" xfId="0" applyFont="1" applyFill="1" applyBorder="1" applyAlignment="1">
      <alignment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7" borderId="16" xfId="0" applyFont="1" applyFill="1" applyBorder="1" applyAlignment="1">
      <alignment horizontal="center" vertical="center" textRotation="255" shrinkToFit="1"/>
    </xf>
    <xf numFmtId="176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11" fillId="8" borderId="10" xfId="0" applyNumberFormat="1" applyFont="1" applyFill="1" applyBorder="1" applyAlignment="1">
      <alignment vertical="center" shrinkToFit="1"/>
    </xf>
    <xf numFmtId="176" fontId="11" fillId="2" borderId="2" xfId="0" applyNumberFormat="1" applyFont="1" applyFill="1" applyBorder="1" applyAlignment="1">
      <alignment vertical="center" shrinkToFit="1"/>
    </xf>
    <xf numFmtId="176" fontId="11" fillId="2" borderId="10" xfId="0" applyNumberFormat="1" applyFont="1" applyFill="1" applyBorder="1" applyAlignment="1">
      <alignment vertical="center" shrinkToFit="1"/>
    </xf>
    <xf numFmtId="176" fontId="11" fillId="8" borderId="19" xfId="0" applyNumberFormat="1" applyFont="1" applyFill="1" applyBorder="1" applyAlignment="1">
      <alignment vertical="center" shrinkToFit="1"/>
    </xf>
    <xf numFmtId="176" fontId="9" fillId="2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vertical="center"/>
    </xf>
    <xf numFmtId="176" fontId="11" fillId="8" borderId="11" xfId="0" applyNumberFormat="1" applyFont="1" applyFill="1" applyBorder="1" applyAlignment="1">
      <alignment vertical="center" shrinkToFit="1"/>
    </xf>
    <xf numFmtId="176" fontId="11" fillId="2" borderId="3" xfId="0" applyNumberFormat="1" applyFont="1" applyFill="1" applyBorder="1" applyAlignment="1">
      <alignment vertical="center" shrinkToFit="1"/>
    </xf>
    <xf numFmtId="176" fontId="11" fillId="2" borderId="11" xfId="0" applyNumberFormat="1" applyFont="1" applyFill="1" applyBorder="1" applyAlignment="1">
      <alignment vertical="center" shrinkToFit="1"/>
    </xf>
    <xf numFmtId="176" fontId="11" fillId="8" borderId="20" xfId="0" applyNumberFormat="1" applyFont="1" applyFill="1" applyBorder="1" applyAlignment="1">
      <alignment vertical="center" shrinkToFit="1"/>
    </xf>
    <xf numFmtId="176" fontId="11" fillId="8" borderId="12" xfId="0" applyNumberFormat="1" applyFont="1" applyFill="1" applyBorder="1" applyAlignment="1">
      <alignment vertical="center" shrinkToFit="1"/>
    </xf>
    <xf numFmtId="176" fontId="11" fillId="2" borderId="4" xfId="0" applyNumberFormat="1" applyFont="1" applyFill="1" applyBorder="1" applyAlignment="1">
      <alignment vertical="center" shrinkToFit="1"/>
    </xf>
    <xf numFmtId="176" fontId="11" fillId="2" borderId="12" xfId="0" applyNumberFormat="1" applyFont="1" applyFill="1" applyBorder="1" applyAlignment="1">
      <alignment vertical="center" shrinkToFit="1"/>
    </xf>
    <xf numFmtId="176" fontId="11" fillId="2" borderId="5" xfId="0" applyNumberFormat="1" applyFont="1" applyFill="1" applyBorder="1" applyAlignment="1">
      <alignment vertical="center" shrinkToFit="1"/>
    </xf>
    <xf numFmtId="176" fontId="11" fillId="2" borderId="21" xfId="0" applyNumberFormat="1" applyFont="1" applyFill="1" applyBorder="1" applyAlignment="1">
      <alignment vertical="center" shrinkToFit="1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2" xfId="0" applyNumberFormat="1" applyFont="1" applyFill="1" applyBorder="1" applyAlignment="1">
      <alignment vertical="center" shrinkToFit="1"/>
    </xf>
    <xf numFmtId="176" fontId="11" fillId="4" borderId="4" xfId="0" applyNumberFormat="1" applyFont="1" applyFill="1" applyBorder="1" applyAlignment="1">
      <alignment vertical="center" shrinkToFit="1"/>
    </xf>
    <xf numFmtId="176" fontId="11" fillId="2" borderId="7" xfId="0" applyNumberFormat="1" applyFont="1" applyFill="1" applyBorder="1" applyAlignment="1">
      <alignment vertical="center" shrinkToFit="1"/>
    </xf>
    <xf numFmtId="176" fontId="11" fillId="2" borderId="2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5" borderId="23" xfId="0" applyNumberFormat="1" applyFont="1" applyFill="1" applyBorder="1" applyAlignment="1">
      <alignment vertical="center" shrinkToFit="1"/>
    </xf>
    <xf numFmtId="176" fontId="11" fillId="5" borderId="7" xfId="0" applyNumberFormat="1" applyFont="1" applyFill="1" applyBorder="1" applyAlignment="1">
      <alignment vertical="center" shrinkToFit="1"/>
    </xf>
    <xf numFmtId="176" fontId="11" fillId="4" borderId="23" xfId="0" applyNumberFormat="1" applyFont="1" applyFill="1" applyBorder="1" applyAlignment="1">
      <alignment vertical="center" shrinkToFit="1"/>
    </xf>
    <xf numFmtId="176" fontId="11" fillId="4" borderId="7" xfId="0" applyNumberFormat="1" applyFont="1" applyFill="1" applyBorder="1" applyAlignment="1">
      <alignment vertical="center" shrinkToFit="1"/>
    </xf>
    <xf numFmtId="176" fontId="9" fillId="4" borderId="0" xfId="0" applyNumberFormat="1" applyFont="1" applyFill="1" applyAlignment="1">
      <alignment shrinkToFit="1"/>
    </xf>
    <xf numFmtId="176" fontId="9" fillId="4" borderId="0" xfId="0" applyNumberFormat="1" applyFont="1" applyFill="1" applyAlignment="1">
      <alignment vertical="center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0" xfId="0" applyNumberFormat="1" applyFont="1" applyFill="1" applyBorder="1" applyAlignment="1">
      <alignment vertical="center" shrinkToFit="1"/>
    </xf>
    <xf numFmtId="176" fontId="11" fillId="5" borderId="2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24" xfId="0" applyNumberFormat="1" applyFont="1" applyFill="1" applyBorder="1" applyAlignment="1">
      <alignment vertical="center" shrinkToFit="1"/>
    </xf>
    <xf numFmtId="176" fontId="11" fillId="4" borderId="8" xfId="0" applyNumberFormat="1" applyFont="1" applyFill="1" applyBorder="1" applyAlignment="1">
      <alignment vertical="center" shrinkToFit="1"/>
    </xf>
    <xf numFmtId="176" fontId="11" fillId="4" borderId="25" xfId="0" applyNumberFormat="1" applyFont="1" applyFill="1" applyBorder="1" applyAlignment="1">
      <alignment vertical="center" shrinkToFit="1"/>
    </xf>
    <xf numFmtId="176" fontId="11" fillId="4" borderId="9" xfId="0" applyNumberFormat="1" applyFont="1" applyFill="1" applyBorder="1" applyAlignment="1">
      <alignment vertical="center" shrinkToFit="1"/>
    </xf>
    <xf numFmtId="176" fontId="11" fillId="5" borderId="12" xfId="0" applyNumberFormat="1" applyFont="1" applyFill="1" applyBorder="1" applyAlignment="1">
      <alignment vertical="center" shrinkToFit="1"/>
    </xf>
    <xf numFmtId="176" fontId="11" fillId="5" borderId="4" xfId="0" applyNumberFormat="1" applyFont="1" applyFill="1" applyBorder="1" applyAlignment="1">
      <alignment vertical="center" shrinkToFit="1"/>
    </xf>
    <xf numFmtId="176" fontId="11" fillId="5" borderId="18" xfId="0" applyNumberFormat="1" applyFont="1" applyFill="1" applyBorder="1" applyAlignment="1">
      <alignment vertical="center" shrinkToFit="1"/>
    </xf>
    <xf numFmtId="176" fontId="11" fillId="5" borderId="1" xfId="0" applyNumberFormat="1" applyFont="1" applyFill="1" applyBorder="1" applyAlignment="1">
      <alignment vertical="center" shrinkToFit="1"/>
    </xf>
    <xf numFmtId="176" fontId="11" fillId="4" borderId="21" xfId="0" applyNumberFormat="1" applyFont="1" applyFill="1" applyBorder="1" applyAlignment="1">
      <alignment vertical="center" shrinkToFit="1"/>
    </xf>
    <xf numFmtId="176" fontId="11" fillId="4" borderId="5" xfId="0" applyNumberFormat="1" applyFont="1" applyFill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  <xf numFmtId="177" fontId="9" fillId="2" borderId="0" xfId="0" applyNumberFormat="1" applyFont="1" applyFill="1" applyAlignment="1">
      <alignment shrinkToFit="1"/>
    </xf>
    <xf numFmtId="177" fontId="9" fillId="2" borderId="0" xfId="0" applyNumberFormat="1" applyFont="1" applyFill="1" applyAlignment="1">
      <alignment vertical="center"/>
    </xf>
    <xf numFmtId="177" fontId="12" fillId="2" borderId="0" xfId="0" applyNumberFormat="1" applyFont="1" applyFill="1" applyAlignment="1">
      <alignment shrinkToFit="1"/>
    </xf>
    <xf numFmtId="177" fontId="12" fillId="2" borderId="10" xfId="0" applyNumberFormat="1" applyFont="1" applyFill="1" applyBorder="1" applyAlignment="1">
      <alignment vertical="center" shrinkToFit="1"/>
    </xf>
    <xf numFmtId="177" fontId="12" fillId="2" borderId="2" xfId="0" applyNumberFormat="1" applyFont="1" applyFill="1" applyBorder="1" applyAlignment="1">
      <alignment vertical="center" shrinkToFit="1"/>
    </xf>
    <xf numFmtId="177" fontId="12" fillId="2" borderId="26" xfId="0" applyNumberFormat="1" applyFont="1" applyFill="1" applyBorder="1" applyAlignment="1">
      <alignment vertical="center" shrinkToFit="1"/>
    </xf>
    <xf numFmtId="177" fontId="12" fillId="8" borderId="10" xfId="0" applyNumberFormat="1" applyFont="1" applyFill="1" applyBorder="1" applyAlignment="1">
      <alignment vertical="center" shrinkToFit="1"/>
    </xf>
    <xf numFmtId="177" fontId="12" fillId="2" borderId="27" xfId="0" applyNumberFormat="1" applyFont="1" applyFill="1" applyBorder="1" applyAlignment="1">
      <alignment vertical="center" shrinkToFit="1"/>
    </xf>
    <xf numFmtId="177" fontId="12" fillId="2" borderId="11" xfId="0" applyNumberFormat="1" applyFont="1" applyFill="1" applyBorder="1" applyAlignment="1">
      <alignment vertical="center" shrinkToFit="1"/>
    </xf>
    <xf numFmtId="177" fontId="12" fillId="2" borderId="3" xfId="0" applyNumberFormat="1" applyFont="1" applyFill="1" applyBorder="1" applyAlignment="1">
      <alignment vertical="center" shrinkToFit="1"/>
    </xf>
    <xf numFmtId="177" fontId="12" fillId="2" borderId="28" xfId="0" applyNumberFormat="1" applyFont="1" applyFill="1" applyBorder="1" applyAlignment="1">
      <alignment vertical="center" shrinkToFit="1"/>
    </xf>
    <xf numFmtId="177" fontId="12" fillId="8" borderId="11" xfId="0" applyNumberFormat="1" applyFont="1" applyFill="1" applyBorder="1" applyAlignment="1">
      <alignment vertical="center" shrinkToFit="1"/>
    </xf>
    <xf numFmtId="177" fontId="12" fillId="2" borderId="29" xfId="0" applyNumberFormat="1" applyFont="1" applyFill="1" applyBorder="1" applyAlignment="1">
      <alignment vertical="center" shrinkToFit="1"/>
    </xf>
    <xf numFmtId="177" fontId="12" fillId="2" borderId="12" xfId="0" applyNumberFormat="1" applyFont="1" applyFill="1" applyBorder="1" applyAlignment="1">
      <alignment vertical="center" shrinkToFit="1"/>
    </xf>
    <xf numFmtId="177" fontId="12" fillId="2" borderId="4" xfId="0" applyNumberFormat="1" applyFont="1" applyFill="1" applyBorder="1" applyAlignment="1">
      <alignment vertical="center" shrinkToFit="1"/>
    </xf>
    <xf numFmtId="177" fontId="12" fillId="2" borderId="31" xfId="0" applyNumberFormat="1" applyFont="1" applyFill="1" applyBorder="1" applyAlignment="1">
      <alignment vertical="center" shrinkToFit="1"/>
    </xf>
    <xf numFmtId="177" fontId="12" fillId="8" borderId="12" xfId="0" applyNumberFormat="1" applyFont="1" applyFill="1" applyBorder="1" applyAlignment="1">
      <alignment vertical="center" shrinkToFit="1"/>
    </xf>
    <xf numFmtId="177" fontId="12" fillId="2" borderId="32" xfId="0" applyNumberFormat="1" applyFont="1" applyFill="1" applyBorder="1" applyAlignment="1">
      <alignment vertical="center" shrinkToFit="1"/>
    </xf>
    <xf numFmtId="177" fontId="11" fillId="2" borderId="10" xfId="0" applyNumberFormat="1" applyFont="1" applyFill="1" applyBorder="1" applyAlignment="1">
      <alignment vertical="center" shrinkToFit="1"/>
    </xf>
    <xf numFmtId="177" fontId="11" fillId="2" borderId="2" xfId="0" applyNumberFormat="1" applyFont="1" applyFill="1" applyBorder="1" applyAlignment="1">
      <alignment vertical="center" shrinkToFit="1"/>
    </xf>
    <xf numFmtId="177" fontId="11" fillId="8" borderId="10" xfId="0" applyNumberFormat="1" applyFont="1" applyFill="1" applyBorder="1" applyAlignment="1">
      <alignment vertical="center" shrinkToFit="1"/>
    </xf>
    <xf numFmtId="177" fontId="11" fillId="2" borderId="11" xfId="0" applyNumberFormat="1" applyFont="1" applyFill="1" applyBorder="1" applyAlignment="1">
      <alignment vertical="center" shrinkToFit="1"/>
    </xf>
    <xf numFmtId="177" fontId="11" fillId="2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11" fillId="2" borderId="4" xfId="0" applyNumberFormat="1" applyFont="1" applyFill="1" applyBorder="1" applyAlignment="1">
      <alignment vertical="center" shrinkToFit="1"/>
    </xf>
    <xf numFmtId="177" fontId="11" fillId="2" borderId="28" xfId="0" applyNumberFormat="1" applyFont="1" applyFill="1" applyBorder="1" applyAlignment="1">
      <alignment vertical="center" shrinkToFit="1"/>
    </xf>
    <xf numFmtId="177" fontId="11" fillId="2" borderId="8" xfId="0" applyNumberFormat="1" applyFont="1" applyFill="1" applyBorder="1" applyAlignment="1">
      <alignment vertical="center" shrinkToFit="1"/>
    </xf>
    <xf numFmtId="177" fontId="11" fillId="2" borderId="13" xfId="0" applyNumberFormat="1" applyFont="1" applyFill="1" applyBorder="1" applyAlignment="1">
      <alignment vertical="center" shrinkToFit="1"/>
    </xf>
    <xf numFmtId="177" fontId="11" fillId="2" borderId="31" xfId="0" applyNumberFormat="1" applyFont="1" applyFill="1" applyBorder="1" applyAlignment="1">
      <alignment vertical="center" shrinkToFit="1"/>
    </xf>
    <xf numFmtId="177" fontId="11" fillId="8" borderId="12" xfId="0" applyNumberFormat="1" applyFont="1" applyFill="1" applyBorder="1" applyAlignment="1">
      <alignment vertical="center" shrinkToFit="1"/>
    </xf>
    <xf numFmtId="177" fontId="11" fillId="6" borderId="11" xfId="0" applyNumberFormat="1" applyFont="1" applyFill="1" applyBorder="1" applyAlignment="1">
      <alignment vertical="center" shrinkToFit="1"/>
    </xf>
    <xf numFmtId="177" fontId="11" fillId="6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9" fillId="6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horizontal="right" vertical="center"/>
    </xf>
    <xf numFmtId="10" fontId="12" fillId="8" borderId="10" xfId="0" applyNumberFormat="1" applyFont="1" applyFill="1" applyBorder="1" applyAlignment="1">
      <alignment vertical="center" shrinkToFit="1"/>
    </xf>
    <xf numFmtId="178" fontId="12" fillId="8" borderId="10" xfId="0" applyNumberFormat="1" applyFont="1" applyFill="1" applyBorder="1" applyAlignment="1">
      <alignment vertical="center" shrinkToFit="1"/>
    </xf>
    <xf numFmtId="178" fontId="8" fillId="2" borderId="2" xfId="0" applyNumberFormat="1" applyFont="1" applyFill="1" applyBorder="1" applyAlignment="1">
      <alignment vertical="center" shrinkToFit="1"/>
    </xf>
    <xf numFmtId="178" fontId="8" fillId="2" borderId="0" xfId="0" applyNumberFormat="1" applyFont="1" applyFill="1" applyAlignment="1">
      <alignment shrinkToFit="1"/>
    </xf>
    <xf numFmtId="178" fontId="12" fillId="2" borderId="10" xfId="0" applyNumberFormat="1" applyFont="1" applyFill="1" applyBorder="1" applyAlignment="1">
      <alignment vertical="center" shrinkToFit="1"/>
    </xf>
    <xf numFmtId="178" fontId="12" fillId="2" borderId="2" xfId="0" applyNumberFormat="1" applyFont="1" applyFill="1" applyBorder="1" applyAlignment="1">
      <alignment vertical="center" shrinkToFit="1"/>
    </xf>
    <xf numFmtId="178" fontId="12" fillId="2" borderId="26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shrinkToFit="1"/>
    </xf>
    <xf numFmtId="178" fontId="12" fillId="2" borderId="27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vertical="center"/>
    </xf>
    <xf numFmtId="178" fontId="12" fillId="8" borderId="11" xfId="0" applyNumberFormat="1" applyFont="1" applyFill="1" applyBorder="1" applyAlignment="1">
      <alignment vertical="center" shrinkToFit="1"/>
    </xf>
    <xf numFmtId="178" fontId="8" fillId="2" borderId="3" xfId="0" applyNumberFormat="1" applyFont="1" applyFill="1" applyBorder="1" applyAlignment="1">
      <alignment vertical="center" shrinkToFit="1"/>
    </xf>
    <xf numFmtId="178" fontId="12" fillId="2" borderId="11" xfId="0" applyNumberFormat="1" applyFont="1" applyFill="1" applyBorder="1" applyAlignment="1">
      <alignment vertical="center" shrinkToFit="1"/>
    </xf>
    <xf numFmtId="178" fontId="12" fillId="2" borderId="3" xfId="0" applyNumberFormat="1" applyFont="1" applyFill="1" applyBorder="1" applyAlignment="1">
      <alignment vertical="center" shrinkToFit="1"/>
    </xf>
    <xf numFmtId="178" fontId="12" fillId="2" borderId="28" xfId="0" applyNumberFormat="1" applyFont="1" applyFill="1" applyBorder="1" applyAlignment="1">
      <alignment vertical="center" shrinkToFit="1"/>
    </xf>
    <xf numFmtId="178" fontId="12" fillId="2" borderId="29" xfId="0" applyNumberFormat="1" applyFont="1" applyFill="1" applyBorder="1" applyAlignment="1">
      <alignment vertical="center" shrinkToFit="1"/>
    </xf>
    <xf numFmtId="178" fontId="12" fillId="8" borderId="12" xfId="0" applyNumberFormat="1" applyFont="1" applyFill="1" applyBorder="1" applyAlignment="1">
      <alignment vertical="center" shrinkToFit="1"/>
    </xf>
    <xf numFmtId="178" fontId="8" fillId="2" borderId="4" xfId="0" applyNumberFormat="1" applyFont="1" applyFill="1" applyBorder="1" applyAlignment="1">
      <alignment vertical="center" shrinkToFit="1"/>
    </xf>
    <xf numFmtId="178" fontId="12" fillId="2" borderId="12" xfId="0" applyNumberFormat="1" applyFont="1" applyFill="1" applyBorder="1" applyAlignment="1">
      <alignment vertical="center" shrinkToFit="1"/>
    </xf>
    <xf numFmtId="178" fontId="12" fillId="2" borderId="4" xfId="0" applyNumberFormat="1" applyFont="1" applyFill="1" applyBorder="1" applyAlignment="1">
      <alignment vertical="center" shrinkToFit="1"/>
    </xf>
    <xf numFmtId="178" fontId="12" fillId="2" borderId="31" xfId="0" applyNumberFormat="1" applyFont="1" applyFill="1" applyBorder="1" applyAlignment="1">
      <alignment vertical="center" shrinkToFit="1"/>
    </xf>
    <xf numFmtId="178" fontId="12" fillId="2" borderId="32" xfId="0" applyNumberFormat="1" applyFont="1" applyFill="1" applyBorder="1" applyAlignment="1">
      <alignment vertical="center" shrinkToFit="1"/>
    </xf>
    <xf numFmtId="176" fontId="11" fillId="8" borderId="28" xfId="0" applyNumberFormat="1" applyFont="1" applyFill="1" applyBorder="1" applyAlignment="1">
      <alignment vertical="center" shrinkToFit="1"/>
    </xf>
    <xf numFmtId="176" fontId="11" fillId="8" borderId="31" xfId="0" applyNumberFormat="1" applyFont="1" applyFill="1" applyBorder="1" applyAlignment="1">
      <alignment vertical="center" shrinkToFit="1"/>
    </xf>
    <xf numFmtId="0" fontId="11" fillId="8" borderId="10" xfId="0" applyFont="1" applyFill="1" applyBorder="1" applyAlignment="1">
      <alignment vertical="center" shrinkToFit="1"/>
    </xf>
    <xf numFmtId="0" fontId="11" fillId="8" borderId="11" xfId="0" applyFont="1" applyFill="1" applyBorder="1" applyAlignment="1">
      <alignment vertical="center" shrinkToFit="1"/>
    </xf>
    <xf numFmtId="0" fontId="11" fillId="8" borderId="12" xfId="0" applyFont="1" applyFill="1" applyBorder="1" applyAlignment="1">
      <alignment vertical="center" shrinkToFit="1"/>
    </xf>
    <xf numFmtId="0" fontId="11" fillId="8" borderId="21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2" xfId="0" applyFont="1" applyFill="1" applyBorder="1" applyAlignment="1">
      <alignment vertical="center" shrinkToFit="1"/>
    </xf>
    <xf numFmtId="0" fontId="11" fillId="8" borderId="23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5" borderId="23" xfId="0" applyFont="1" applyFill="1" applyBorder="1" applyAlignment="1">
      <alignment vertical="center" shrinkToFit="1"/>
    </xf>
    <xf numFmtId="0" fontId="11" fillId="4" borderId="23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0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24" xfId="0" applyFont="1" applyFill="1" applyBorder="1" applyAlignment="1">
      <alignment vertical="center" shrinkToFit="1"/>
    </xf>
    <xf numFmtId="0" fontId="11" fillId="4" borderId="25" xfId="0" applyFont="1" applyFill="1" applyBorder="1" applyAlignment="1">
      <alignment vertical="center" shrinkToFit="1"/>
    </xf>
    <xf numFmtId="0" fontId="11" fillId="5" borderId="12" xfId="0" applyFont="1" applyFill="1" applyBorder="1" applyAlignment="1">
      <alignment vertical="center" shrinkToFit="1"/>
    </xf>
    <xf numFmtId="0" fontId="11" fillId="5" borderId="18" xfId="0" applyFont="1" applyFill="1" applyBorder="1" applyAlignment="1">
      <alignment vertical="center" shrinkToFit="1"/>
    </xf>
    <xf numFmtId="0" fontId="11" fillId="4" borderId="21" xfId="0" applyFont="1" applyFill="1" applyBorder="1" applyAlignment="1">
      <alignment vertical="center" shrinkToFit="1"/>
    </xf>
    <xf numFmtId="177" fontId="11" fillId="4" borderId="1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>
      <alignment vertical="center" shrinkToFit="1"/>
    </xf>
    <xf numFmtId="179" fontId="11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1" fillId="8" borderId="30" xfId="0" applyNumberFormat="1" applyFont="1" applyFill="1" applyBorder="1" applyAlignment="1">
      <alignment vertical="center" shrinkToFit="1"/>
    </xf>
    <xf numFmtId="179" fontId="11" fillId="8" borderId="12" xfId="0" applyNumberFormat="1" applyFont="1" applyFill="1" applyBorder="1" applyAlignment="1">
      <alignment vertical="center" shrinkToFit="1"/>
    </xf>
    <xf numFmtId="179" fontId="11" fillId="8" borderId="33" xfId="0" applyNumberFormat="1" applyFont="1" applyFill="1" applyBorder="1" applyAlignment="1">
      <alignment vertical="center" shrinkToFit="1"/>
    </xf>
    <xf numFmtId="179" fontId="11" fillId="8" borderId="21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30" xfId="0" applyNumberFormat="1" applyFont="1" applyFill="1" applyBorder="1" applyAlignment="1">
      <alignment vertical="center" shrinkToFit="1"/>
    </xf>
    <xf numFmtId="179" fontId="11" fillId="4" borderId="12" xfId="0" applyNumberFormat="1" applyFont="1" applyFill="1" applyBorder="1" applyAlignment="1">
      <alignment vertical="center" shrinkToFit="1"/>
    </xf>
    <xf numFmtId="179" fontId="11" fillId="8" borderId="35" xfId="0" applyNumberFormat="1" applyFont="1" applyFill="1" applyBorder="1" applyAlignment="1">
      <alignment vertical="center" shrinkToFit="1"/>
    </xf>
    <xf numFmtId="179" fontId="11" fillId="8" borderId="23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5" borderId="35" xfId="0" applyNumberFormat="1" applyFont="1" applyFill="1" applyBorder="1" applyAlignment="1">
      <alignment vertical="center" shrinkToFit="1"/>
    </xf>
    <xf numFmtId="179" fontId="11" fillId="5" borderId="23" xfId="0" applyNumberFormat="1" applyFont="1" applyFill="1" applyBorder="1" applyAlignment="1">
      <alignment vertical="center" shrinkToFit="1"/>
    </xf>
    <xf numFmtId="179" fontId="11" fillId="4" borderId="35" xfId="0" applyNumberFormat="1" applyFont="1" applyFill="1" applyBorder="1" applyAlignment="1">
      <alignment vertical="center" shrinkToFit="1"/>
    </xf>
    <xf numFmtId="179" fontId="11" fillId="4" borderId="23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19" xfId="0" applyNumberFormat="1" applyFont="1" applyFill="1" applyBorder="1" applyAlignment="1">
      <alignment vertical="center" shrinkToFit="1"/>
    </xf>
    <xf numFmtId="179" fontId="11" fillId="5" borderId="10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36" xfId="0" applyNumberFormat="1" applyFont="1" applyFill="1" applyBorder="1" applyAlignment="1">
      <alignment vertical="center" shrinkToFit="1"/>
    </xf>
    <xf numFmtId="179" fontId="11" fillId="4" borderId="24" xfId="0" applyNumberFormat="1" applyFont="1" applyFill="1" applyBorder="1" applyAlignment="1">
      <alignment vertical="center" shrinkToFit="1"/>
    </xf>
    <xf numFmtId="179" fontId="11" fillId="4" borderId="37" xfId="0" applyNumberFormat="1" applyFont="1" applyFill="1" applyBorder="1" applyAlignment="1">
      <alignment vertical="center" shrinkToFit="1"/>
    </xf>
    <xf numFmtId="179" fontId="11" fillId="4" borderId="25" xfId="0" applyNumberFormat="1" applyFont="1" applyFill="1" applyBorder="1" applyAlignment="1">
      <alignment vertical="center" shrinkToFit="1"/>
    </xf>
    <xf numFmtId="179" fontId="11" fillId="5" borderId="30" xfId="0" applyNumberFormat="1" applyFont="1" applyFill="1" applyBorder="1" applyAlignment="1">
      <alignment vertical="center" shrinkToFit="1"/>
    </xf>
    <xf numFmtId="179" fontId="11" fillId="5" borderId="12" xfId="0" applyNumberFormat="1" applyFont="1" applyFill="1" applyBorder="1" applyAlignment="1">
      <alignment vertical="center" shrinkToFit="1"/>
    </xf>
    <xf numFmtId="179" fontId="11" fillId="5" borderId="17" xfId="0" applyNumberFormat="1" applyFont="1" applyFill="1" applyBorder="1" applyAlignment="1">
      <alignment vertical="center" shrinkToFit="1"/>
    </xf>
    <xf numFmtId="179" fontId="11" fillId="5" borderId="18" xfId="0" applyNumberFormat="1" applyFont="1" applyFill="1" applyBorder="1" applyAlignment="1">
      <alignment vertical="center" shrinkToFit="1"/>
    </xf>
    <xf numFmtId="179" fontId="11" fillId="4" borderId="33" xfId="0" applyNumberFormat="1" applyFont="1" applyFill="1" applyBorder="1" applyAlignment="1">
      <alignment vertical="center" shrinkToFit="1"/>
    </xf>
    <xf numFmtId="179" fontId="11" fillId="4" borderId="21" xfId="0" applyNumberFormat="1" applyFont="1" applyFill="1" applyBorder="1" applyAlignment="1">
      <alignment vertical="center" shrinkToFit="1"/>
    </xf>
    <xf numFmtId="179" fontId="12" fillId="8" borderId="19" xfId="0" applyNumberFormat="1" applyFont="1" applyFill="1" applyBorder="1" applyAlignment="1">
      <alignment vertical="center" shrinkToFit="1"/>
    </xf>
    <xf numFmtId="179" fontId="12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2" fillId="8" borderId="20" xfId="0" applyNumberFormat="1" applyFont="1" applyFill="1" applyBorder="1" applyAlignment="1">
      <alignment vertical="center" shrinkToFit="1"/>
    </xf>
    <xf numFmtId="179" fontId="12" fillId="8" borderId="11" xfId="0" applyNumberFormat="1" applyFont="1" applyFill="1" applyBorder="1" applyAlignment="1">
      <alignment vertical="center" shrinkToFit="1"/>
    </xf>
    <xf numFmtId="179" fontId="12" fillId="8" borderId="30" xfId="0" applyNumberFormat="1" applyFont="1" applyFill="1" applyBorder="1" applyAlignment="1">
      <alignment vertical="center" shrinkToFit="1"/>
    </xf>
    <xf numFmtId="179" fontId="12" fillId="8" borderId="12" xfId="0" applyNumberFormat="1" applyFont="1" applyFill="1" applyBorder="1" applyAlignment="1">
      <alignment vertical="center" shrinkToFit="1"/>
    </xf>
    <xf numFmtId="180" fontId="11" fillId="4" borderId="12" xfId="0" applyNumberFormat="1" applyFont="1" applyFill="1" applyBorder="1" applyAlignment="1">
      <alignment vertical="center" shrinkToFit="1"/>
    </xf>
    <xf numFmtId="180" fontId="11" fillId="5" borderId="11" xfId="0" applyNumberFormat="1" applyFont="1" applyFill="1" applyBorder="1" applyAlignment="1">
      <alignment vertical="center" shrinkToFit="1"/>
    </xf>
    <xf numFmtId="180" fontId="11" fillId="5" borderId="23" xfId="0" applyNumberFormat="1" applyFont="1" applyFill="1" applyBorder="1" applyAlignment="1">
      <alignment vertical="center" shrinkToFit="1"/>
    </xf>
    <xf numFmtId="180" fontId="11" fillId="4" borderId="11" xfId="0" applyNumberFormat="1" applyFont="1" applyFill="1" applyBorder="1" applyAlignment="1">
      <alignment vertical="center" shrinkToFit="1"/>
    </xf>
    <xf numFmtId="180" fontId="11" fillId="4" borderId="24" xfId="0" applyNumberFormat="1" applyFont="1" applyFill="1" applyBorder="1" applyAlignment="1">
      <alignment vertical="center" shrinkToFit="1"/>
    </xf>
    <xf numFmtId="180" fontId="11" fillId="4" borderId="25" xfId="0" applyNumberFormat="1" applyFont="1" applyFill="1" applyBorder="1" applyAlignment="1">
      <alignment vertical="center" shrinkToFit="1"/>
    </xf>
    <xf numFmtId="180" fontId="11" fillId="4" borderId="2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 applyProtection="1">
      <alignment vertical="center" shrinkToFit="1"/>
      <protection locked="0"/>
    </xf>
    <xf numFmtId="179" fontId="11" fillId="8" borderId="20" xfId="0" applyNumberFormat="1" applyFont="1" applyFill="1" applyBorder="1" applyAlignment="1" applyProtection="1">
      <alignment vertical="center" shrinkToFit="1"/>
      <protection locked="0"/>
    </xf>
    <xf numFmtId="179" fontId="11" fillId="8" borderId="30" xfId="0" applyNumberFormat="1" applyFont="1" applyFill="1" applyBorder="1" applyAlignment="1" applyProtection="1">
      <alignment vertical="center" shrinkToFit="1"/>
      <protection locked="0"/>
    </xf>
    <xf numFmtId="179" fontId="11" fillId="8" borderId="33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35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28" xfId="0" applyNumberFormat="1" applyFont="1" applyFill="1" applyBorder="1" applyAlignment="1">
      <alignment vertical="center" shrinkToFit="1"/>
    </xf>
    <xf numFmtId="179" fontId="11" fillId="8" borderId="31" xfId="0" applyNumberFormat="1" applyFont="1" applyFill="1" applyBorder="1" applyAlignment="1">
      <alignment vertical="center" shrinkToFit="1"/>
    </xf>
    <xf numFmtId="0" fontId="9" fillId="3" borderId="18" xfId="0" applyFont="1" applyFill="1" applyBorder="1" applyAlignment="1">
      <alignment horizontal="center" vertical="center"/>
    </xf>
    <xf numFmtId="180" fontId="11" fillId="8" borderId="10" xfId="0" applyNumberFormat="1" applyFont="1" applyFill="1" applyBorder="1" applyAlignment="1">
      <alignment vertical="center" shrinkToFit="1"/>
    </xf>
    <xf numFmtId="180" fontId="11" fillId="8" borderId="11" xfId="0" applyNumberFormat="1" applyFont="1" applyFill="1" applyBorder="1" applyAlignment="1">
      <alignment vertical="center" shrinkToFit="1"/>
    </xf>
    <xf numFmtId="180" fontId="11" fillId="8" borderId="12" xfId="0" applyNumberFormat="1" applyFont="1" applyFill="1" applyBorder="1" applyAlignment="1">
      <alignment vertical="center" shrinkToFit="1"/>
    </xf>
    <xf numFmtId="180" fontId="11" fillId="8" borderId="21" xfId="0" applyNumberFormat="1" applyFont="1" applyFill="1" applyBorder="1" applyAlignment="1">
      <alignment vertical="center" shrinkToFit="1"/>
    </xf>
    <xf numFmtId="180" fontId="11" fillId="8" borderId="22" xfId="0" applyNumberFormat="1" applyFont="1" applyFill="1" applyBorder="1" applyAlignment="1">
      <alignment vertical="center" shrinkToFit="1"/>
    </xf>
    <xf numFmtId="180" fontId="11" fillId="8" borderId="23" xfId="0" applyNumberFormat="1" applyFont="1" applyFill="1" applyBorder="1" applyAlignment="1">
      <alignment vertical="center" shrinkToFit="1"/>
    </xf>
    <xf numFmtId="180" fontId="11" fillId="4" borderId="23" xfId="0" applyNumberFormat="1" applyFont="1" applyFill="1" applyBorder="1" applyAlignment="1">
      <alignment vertical="center" shrinkToFit="1"/>
    </xf>
    <xf numFmtId="10" fontId="11" fillId="8" borderId="22" xfId="0" applyNumberFormat="1" applyFont="1" applyFill="1" applyBorder="1" applyAlignment="1">
      <alignment vertical="center" shrinkToFit="1"/>
    </xf>
    <xf numFmtId="9" fontId="11" fillId="4" borderId="12" xfId="0" applyNumberFormat="1" applyFont="1" applyFill="1" applyBorder="1" applyAlignment="1">
      <alignment vertical="center" shrinkToFit="1"/>
    </xf>
    <xf numFmtId="10" fontId="11" fillId="8" borderId="10" xfId="0" applyNumberFormat="1" applyFont="1" applyFill="1" applyBorder="1" applyAlignment="1">
      <alignment vertical="center" shrinkToFit="1"/>
    </xf>
    <xf numFmtId="10" fontId="11" fillId="8" borderId="11" xfId="0" applyNumberFormat="1" applyFont="1" applyFill="1" applyBorder="1" applyAlignment="1">
      <alignment vertical="center" shrinkToFit="1"/>
    </xf>
    <xf numFmtId="180" fontId="11" fillId="5" borderId="10" xfId="0" applyNumberFormat="1" applyFont="1" applyFill="1" applyBorder="1" applyAlignment="1">
      <alignment vertical="center" shrinkToFit="1"/>
    </xf>
    <xf numFmtId="180" fontId="11" fillId="5" borderId="12" xfId="0" applyNumberFormat="1" applyFont="1" applyFill="1" applyBorder="1" applyAlignment="1">
      <alignment vertical="center" shrinkToFit="1"/>
    </xf>
    <xf numFmtId="180" fontId="11" fillId="5" borderId="18" xfId="0" applyNumberFormat="1" applyFont="1" applyFill="1" applyBorder="1" applyAlignment="1">
      <alignment vertical="center" shrinkToFit="1"/>
    </xf>
    <xf numFmtId="0" fontId="2" fillId="2" borderId="38" xfId="0" applyFont="1" applyFill="1" applyBorder="1" applyAlignment="1">
      <alignment vertical="center" shrinkToFit="1"/>
    </xf>
    <xf numFmtId="0" fontId="12" fillId="8" borderId="11" xfId="0" applyFont="1" applyFill="1" applyBorder="1" applyAlignment="1">
      <alignment vertical="center" shrinkToFit="1"/>
    </xf>
    <xf numFmtId="0" fontId="12" fillId="8" borderId="12" xfId="0" applyFont="1" applyFill="1" applyBorder="1" applyAlignment="1">
      <alignment vertical="center" shrinkToFit="1"/>
    </xf>
    <xf numFmtId="9" fontId="11" fillId="8" borderId="22" xfId="0" applyNumberFormat="1" applyFont="1" applyFill="1" applyBorder="1" applyAlignment="1">
      <alignment vertical="center" shrinkToFit="1"/>
    </xf>
    <xf numFmtId="0" fontId="9" fillId="3" borderId="36" xfId="0" applyFont="1" applyFill="1" applyBorder="1" applyAlignment="1">
      <alignment horizontal="center" vertical="center"/>
    </xf>
    <xf numFmtId="179" fontId="11" fillId="2" borderId="100" xfId="0" applyNumberFormat="1" applyFont="1" applyFill="1" applyBorder="1" applyAlignment="1" applyProtection="1">
      <alignment vertical="center" shrinkToFit="1"/>
      <protection locked="0"/>
    </xf>
    <xf numFmtId="179" fontId="11" fillId="2" borderId="101" xfId="0" applyNumberFormat="1" applyFont="1" applyFill="1" applyBorder="1" applyAlignment="1" applyProtection="1">
      <alignment vertical="center" shrinkToFit="1"/>
      <protection locked="0"/>
    </xf>
    <xf numFmtId="179" fontId="11" fillId="2" borderId="102" xfId="0" applyNumberFormat="1" applyFont="1" applyFill="1" applyBorder="1" applyAlignment="1" applyProtection="1">
      <alignment vertical="center" shrinkToFit="1"/>
      <protection locked="0"/>
    </xf>
    <xf numFmtId="179" fontId="11" fillId="2" borderId="103" xfId="0" applyNumberFormat="1" applyFont="1" applyFill="1" applyBorder="1" applyAlignment="1" applyProtection="1">
      <alignment vertical="center" shrinkToFit="1"/>
      <protection locked="0"/>
    </xf>
    <xf numFmtId="179" fontId="11" fillId="2" borderId="104" xfId="0" applyNumberFormat="1" applyFont="1" applyFill="1" applyBorder="1" applyAlignment="1" applyProtection="1">
      <alignment vertical="center" shrinkToFit="1"/>
      <protection locked="0"/>
    </xf>
    <xf numFmtId="176" fontId="7" fillId="14" borderId="3" xfId="0" applyNumberFormat="1" applyFont="1" applyFill="1" applyBorder="1" applyAlignment="1">
      <alignment vertical="center" shrinkToFit="1"/>
    </xf>
    <xf numFmtId="176" fontId="7" fillId="16" borderId="0" xfId="0" applyNumberFormat="1" applyFont="1" applyFill="1" applyAlignment="1">
      <alignment shrinkToFit="1"/>
    </xf>
    <xf numFmtId="176" fontId="11" fillId="14" borderId="3" xfId="0" applyNumberFormat="1" applyFont="1" applyFill="1" applyBorder="1" applyAlignment="1">
      <alignment vertical="center" shrinkToFit="1"/>
    </xf>
    <xf numFmtId="176" fontId="11" fillId="14" borderId="11" xfId="0" applyNumberFormat="1" applyFont="1" applyFill="1" applyBorder="1" applyAlignment="1">
      <alignment vertical="center" shrinkToFit="1"/>
    </xf>
    <xf numFmtId="176" fontId="9" fillId="16" borderId="0" xfId="0" applyNumberFormat="1" applyFont="1" applyFill="1" applyAlignment="1">
      <alignment shrinkToFit="1"/>
    </xf>
    <xf numFmtId="176" fontId="9" fillId="16" borderId="0" xfId="0" applyNumberFormat="1" applyFont="1" applyFill="1" applyAlignment="1">
      <alignment vertical="center"/>
    </xf>
    <xf numFmtId="179" fontId="11" fillId="15" borderId="20" xfId="0" applyNumberFormat="1" applyFont="1" applyFill="1" applyBorder="1" applyAlignment="1">
      <alignment vertical="center" shrinkToFit="1"/>
    </xf>
    <xf numFmtId="180" fontId="11" fillId="15" borderId="11" xfId="0" applyNumberFormat="1" applyFont="1" applyFill="1" applyBorder="1" applyAlignment="1">
      <alignment vertical="center" shrinkToFit="1"/>
    </xf>
    <xf numFmtId="179" fontId="11" fillId="2" borderId="97" xfId="0" applyNumberFormat="1" applyFont="1" applyFill="1" applyBorder="1" applyAlignment="1" applyProtection="1">
      <alignment vertical="center" shrinkToFit="1"/>
      <protection locked="0"/>
    </xf>
    <xf numFmtId="179" fontId="11" fillId="2" borderId="99" xfId="0" applyNumberFormat="1" applyFont="1" applyFill="1" applyBorder="1" applyAlignment="1" applyProtection="1">
      <alignment vertical="center" shrinkToFit="1"/>
      <protection locked="0"/>
    </xf>
    <xf numFmtId="178" fontId="12" fillId="13" borderId="20" xfId="0" applyNumberFormat="1" applyFont="1" applyFill="1" applyBorder="1" applyAlignment="1">
      <alignment vertical="center" shrinkToFit="1"/>
    </xf>
    <xf numFmtId="178" fontId="12" fillId="13" borderId="30" xfId="0" applyNumberFormat="1" applyFont="1" applyFill="1" applyBorder="1" applyAlignment="1">
      <alignment vertical="center" shrinkToFit="1"/>
    </xf>
    <xf numFmtId="178" fontId="12" fillId="13" borderId="19" xfId="0" applyNumberFormat="1" applyFont="1" applyFill="1" applyBorder="1" applyAlignment="1">
      <alignment vertical="center" shrinkToFit="1"/>
    </xf>
    <xf numFmtId="176" fontId="11" fillId="17" borderId="7" xfId="0" applyNumberFormat="1" applyFont="1" applyFill="1" applyBorder="1" applyAlignment="1">
      <alignment vertical="center" shrinkToFit="1"/>
    </xf>
    <xf numFmtId="176" fontId="11" fillId="17" borderId="23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 applyProtection="1">
      <alignment vertical="center" shrinkToFit="1"/>
      <protection locked="0"/>
    </xf>
    <xf numFmtId="179" fontId="11" fillId="4" borderId="35" xfId="0" applyNumberFormat="1" applyFont="1" applyFill="1" applyBorder="1" applyAlignment="1" applyProtection="1">
      <alignment vertical="center" shrinkToFit="1"/>
      <protection locked="0"/>
    </xf>
    <xf numFmtId="10" fontId="12" fillId="13" borderId="116" xfId="0" applyNumberFormat="1" applyFont="1" applyFill="1" applyBorder="1" applyAlignment="1">
      <alignment vertical="center" shrinkToFit="1"/>
    </xf>
    <xf numFmtId="177" fontId="12" fillId="8" borderId="91" xfId="0" applyNumberFormat="1" applyFont="1" applyFill="1" applyBorder="1" applyAlignment="1">
      <alignment vertical="center" shrinkToFit="1"/>
    </xf>
    <xf numFmtId="178" fontId="12" fillId="8" borderId="89" xfId="0" applyNumberFormat="1" applyFont="1" applyFill="1" applyBorder="1" applyAlignment="1">
      <alignment vertical="center" shrinkToFit="1"/>
    </xf>
    <xf numFmtId="178" fontId="12" fillId="15" borderId="90" xfId="0" applyNumberFormat="1" applyFont="1" applyFill="1" applyBorder="1" applyAlignment="1">
      <alignment vertical="center" shrinkToFit="1"/>
    </xf>
    <xf numFmtId="178" fontId="12" fillId="15" borderId="117" xfId="0" applyNumberFormat="1" applyFont="1" applyFill="1" applyBorder="1" applyAlignment="1">
      <alignment vertical="center" shrinkToFit="1"/>
    </xf>
    <xf numFmtId="177" fontId="11" fillId="8" borderId="91" xfId="0" applyNumberFormat="1" applyFont="1" applyFill="1" applyBorder="1" applyAlignment="1">
      <alignment vertical="center" shrinkToFit="1"/>
    </xf>
    <xf numFmtId="177" fontId="11" fillId="8" borderId="92" xfId="0" applyNumberFormat="1" applyFont="1" applyFill="1" applyBorder="1" applyAlignment="1">
      <alignment vertical="center" shrinkToFit="1"/>
    </xf>
    <xf numFmtId="177" fontId="11" fillId="8" borderId="93" xfId="0" applyNumberFormat="1" applyFont="1" applyFill="1" applyBorder="1" applyAlignment="1">
      <alignment vertical="center" shrinkToFit="1"/>
    </xf>
    <xf numFmtId="178" fontId="12" fillId="8" borderId="90" xfId="0" applyNumberFormat="1" applyFont="1" applyFill="1" applyBorder="1" applyAlignment="1">
      <alignment vertical="center" shrinkToFit="1"/>
    </xf>
    <xf numFmtId="178" fontId="12" fillId="8" borderId="117" xfId="0" applyNumberFormat="1" applyFont="1" applyFill="1" applyBorder="1" applyAlignment="1">
      <alignment vertical="center" shrinkToFit="1"/>
    </xf>
    <xf numFmtId="0" fontId="17" fillId="3" borderId="1" xfId="0" applyFont="1" applyFill="1" applyBorder="1" applyAlignment="1">
      <alignment horizontal="center" vertical="center"/>
    </xf>
    <xf numFmtId="9" fontId="12" fillId="13" borderId="34" xfId="0" applyNumberFormat="1" applyFont="1" applyFill="1" applyBorder="1" applyAlignment="1">
      <alignment vertical="center" shrinkToFit="1"/>
    </xf>
    <xf numFmtId="9" fontId="12" fillId="13" borderId="20" xfId="0" applyNumberFormat="1" applyFont="1" applyFill="1" applyBorder="1" applyAlignment="1">
      <alignment vertical="center" shrinkToFit="1"/>
    </xf>
    <xf numFmtId="9" fontId="12" fillId="13" borderId="30" xfId="0" applyNumberFormat="1" applyFont="1" applyFill="1" applyBorder="1" applyAlignment="1">
      <alignment vertical="center" shrinkToFit="1"/>
    </xf>
    <xf numFmtId="9" fontId="12" fillId="8" borderId="10" xfId="0" applyNumberFormat="1" applyFont="1" applyFill="1" applyBorder="1" applyAlignment="1">
      <alignment vertical="center" shrinkToFit="1"/>
    </xf>
    <xf numFmtId="9" fontId="12" fillId="8" borderId="11" xfId="0" applyNumberFormat="1" applyFont="1" applyFill="1" applyBorder="1" applyAlignment="1">
      <alignment vertical="center" shrinkToFit="1"/>
    </xf>
    <xf numFmtId="9" fontId="12" fillId="8" borderId="12" xfId="0" applyNumberFormat="1" applyFont="1" applyFill="1" applyBorder="1" applyAlignment="1">
      <alignment vertical="center" shrinkToFit="1"/>
    </xf>
    <xf numFmtId="9" fontId="11" fillId="4" borderId="23" xfId="0" applyNumberFormat="1" applyFont="1" applyFill="1" applyBorder="1" applyAlignment="1">
      <alignment vertical="center" shrinkToFit="1"/>
    </xf>
    <xf numFmtId="180" fontId="11" fillId="8" borderId="91" xfId="0" applyNumberFormat="1" applyFont="1" applyFill="1" applyBorder="1" applyAlignment="1" applyProtection="1">
      <alignment vertical="center" shrinkToFit="1"/>
    </xf>
    <xf numFmtId="179" fontId="11" fillId="8" borderId="10" xfId="0" applyNumberFormat="1" applyFont="1" applyFill="1" applyBorder="1" applyAlignment="1" applyProtection="1">
      <alignment vertical="center" shrinkToFit="1"/>
    </xf>
    <xf numFmtId="180" fontId="11" fillId="8" borderId="10" xfId="0" applyNumberFormat="1" applyFont="1" applyFill="1" applyBorder="1" applyAlignment="1" applyProtection="1">
      <alignment vertical="center" shrinkToFit="1"/>
    </xf>
    <xf numFmtId="180" fontId="11" fillId="8" borderId="92" xfId="0" applyNumberFormat="1" applyFont="1" applyFill="1" applyBorder="1" applyAlignment="1" applyProtection="1">
      <alignment vertical="center" shrinkToFit="1"/>
    </xf>
    <xf numFmtId="179" fontId="11" fillId="8" borderId="11" xfId="0" applyNumberFormat="1" applyFont="1" applyFill="1" applyBorder="1" applyAlignment="1" applyProtection="1">
      <alignment vertical="center" shrinkToFit="1"/>
    </xf>
    <xf numFmtId="180" fontId="11" fillId="8" borderId="11" xfId="0" applyNumberFormat="1" applyFont="1" applyFill="1" applyBorder="1" applyAlignment="1" applyProtection="1">
      <alignment vertical="center" shrinkToFit="1"/>
    </xf>
    <xf numFmtId="180" fontId="11" fillId="8" borderId="93" xfId="0" applyNumberFormat="1" applyFont="1" applyFill="1" applyBorder="1" applyAlignment="1" applyProtection="1">
      <alignment vertical="center" shrinkToFit="1"/>
    </xf>
    <xf numFmtId="179" fontId="11" fillId="8" borderId="12" xfId="0" applyNumberFormat="1" applyFont="1" applyFill="1" applyBorder="1" applyAlignment="1" applyProtection="1">
      <alignment vertical="center" shrinkToFit="1"/>
    </xf>
    <xf numFmtId="180" fontId="11" fillId="8" borderId="12" xfId="0" applyNumberFormat="1" applyFont="1" applyFill="1" applyBorder="1" applyAlignment="1" applyProtection="1">
      <alignment vertical="center" shrinkToFit="1"/>
    </xf>
    <xf numFmtId="180" fontId="11" fillId="8" borderId="94" xfId="0" applyNumberFormat="1" applyFont="1" applyFill="1" applyBorder="1" applyAlignment="1" applyProtection="1">
      <alignment vertical="center" shrinkToFit="1"/>
    </xf>
    <xf numFmtId="179" fontId="11" fillId="8" borderId="21" xfId="0" applyNumberFormat="1" applyFont="1" applyFill="1" applyBorder="1" applyAlignment="1" applyProtection="1">
      <alignment vertical="center" shrinkToFit="1"/>
    </xf>
    <xf numFmtId="180" fontId="11" fillId="8" borderId="21" xfId="0" applyNumberFormat="1" applyFont="1" applyFill="1" applyBorder="1" applyAlignment="1" applyProtection="1">
      <alignment vertical="center" shrinkToFit="1"/>
    </xf>
    <xf numFmtId="180" fontId="11" fillId="8" borderId="105" xfId="0" applyNumberFormat="1" applyFont="1" applyFill="1" applyBorder="1" applyAlignment="1" applyProtection="1">
      <alignment vertical="center" shrinkToFit="1"/>
    </xf>
    <xf numFmtId="179" fontId="11" fillId="8" borderId="22" xfId="0" applyNumberFormat="1" applyFont="1" applyFill="1" applyBorder="1" applyAlignment="1" applyProtection="1">
      <alignment vertical="center" shrinkToFit="1"/>
    </xf>
    <xf numFmtId="180" fontId="11" fillId="8" borderId="22" xfId="0" applyNumberFormat="1" applyFont="1" applyFill="1" applyBorder="1" applyAlignment="1" applyProtection="1">
      <alignment vertical="center" shrinkToFit="1"/>
    </xf>
    <xf numFmtId="179" fontId="11" fillId="8" borderId="95" xfId="0" applyNumberFormat="1" applyFont="1" applyFill="1" applyBorder="1" applyAlignment="1" applyProtection="1">
      <alignment vertical="center" shrinkToFit="1"/>
    </xf>
    <xf numFmtId="9" fontId="11" fillId="8" borderId="22" xfId="0" applyNumberFormat="1" applyFont="1" applyFill="1" applyBorder="1" applyAlignment="1" applyProtection="1">
      <alignment vertical="center" shrinkToFit="1"/>
    </xf>
    <xf numFmtId="179" fontId="11" fillId="8" borderId="28" xfId="0" applyNumberFormat="1" applyFont="1" applyFill="1" applyBorder="1" applyAlignment="1" applyProtection="1">
      <alignment vertical="center" shrinkToFit="1"/>
    </xf>
    <xf numFmtId="180" fontId="11" fillId="4" borderId="24" xfId="0" applyNumberFormat="1" applyFont="1" applyFill="1" applyBorder="1" applyAlignment="1" applyProtection="1">
      <alignment vertical="center" shrinkToFit="1"/>
    </xf>
    <xf numFmtId="179" fontId="11" fillId="4" borderId="12" xfId="0" applyNumberFormat="1" applyFont="1" applyFill="1" applyBorder="1" applyAlignment="1" applyProtection="1">
      <alignment vertical="center" shrinkToFit="1"/>
    </xf>
    <xf numFmtId="180" fontId="11" fillId="4" borderId="12" xfId="0" applyNumberFormat="1" applyFont="1" applyFill="1" applyBorder="1" applyAlignment="1" applyProtection="1">
      <alignment vertical="center" shrinkToFit="1"/>
    </xf>
    <xf numFmtId="179" fontId="11" fillId="8" borderId="26" xfId="0" applyNumberFormat="1" applyFont="1" applyFill="1" applyBorder="1" applyAlignment="1" applyProtection="1">
      <alignment vertical="center" shrinkToFit="1"/>
    </xf>
    <xf numFmtId="179" fontId="11" fillId="8" borderId="96" xfId="0" applyNumberFormat="1" applyFont="1" applyFill="1" applyBorder="1" applyAlignment="1" applyProtection="1">
      <alignment vertical="center" shrinkToFit="1"/>
    </xf>
    <xf numFmtId="180" fontId="11" fillId="8" borderId="23" xfId="0" applyNumberFormat="1" applyFont="1" applyFill="1" applyBorder="1" applyAlignment="1" applyProtection="1">
      <alignment vertical="center" shrinkToFit="1"/>
    </xf>
    <xf numFmtId="179" fontId="11" fillId="8" borderId="23" xfId="0" applyNumberFormat="1" applyFont="1" applyFill="1" applyBorder="1" applyAlignment="1" applyProtection="1">
      <alignment vertical="center" shrinkToFit="1"/>
    </xf>
    <xf numFmtId="179" fontId="11" fillId="5" borderId="20" xfId="0" applyNumberFormat="1" applyFont="1" applyFill="1" applyBorder="1" applyAlignment="1" applyProtection="1">
      <alignment vertical="center" shrinkToFit="1"/>
    </xf>
    <xf numFmtId="180" fontId="11" fillId="5" borderId="22" xfId="0" applyNumberFormat="1" applyFont="1" applyFill="1" applyBorder="1" applyAlignment="1" applyProtection="1">
      <alignment vertical="center" shrinkToFit="1"/>
    </xf>
    <xf numFmtId="179" fontId="11" fillId="5" borderId="11" xfId="0" applyNumberFormat="1" applyFont="1" applyFill="1" applyBorder="1" applyAlignment="1" applyProtection="1">
      <alignment vertical="center" shrinkToFit="1"/>
    </xf>
    <xf numFmtId="180" fontId="11" fillId="5" borderId="11" xfId="0" applyNumberFormat="1" applyFont="1" applyFill="1" applyBorder="1" applyAlignment="1" applyProtection="1">
      <alignment vertical="center" shrinkToFit="1"/>
    </xf>
    <xf numFmtId="179" fontId="11" fillId="4" borderId="35" xfId="0" applyNumberFormat="1" applyFont="1" applyFill="1" applyBorder="1" applyAlignment="1" applyProtection="1">
      <alignment vertical="center" shrinkToFit="1"/>
    </xf>
    <xf numFmtId="179" fontId="11" fillId="4" borderId="11" xfId="0" applyNumberFormat="1" applyFont="1" applyFill="1" applyBorder="1" applyAlignment="1" applyProtection="1">
      <alignment vertical="center" shrinkToFit="1"/>
    </xf>
    <xf numFmtId="180" fontId="11" fillId="4" borderId="11" xfId="0" applyNumberFormat="1" applyFont="1" applyFill="1" applyBorder="1" applyAlignment="1" applyProtection="1">
      <alignment vertical="center" shrinkToFit="1"/>
    </xf>
    <xf numFmtId="177" fontId="11" fillId="4" borderId="11" xfId="0" applyNumberFormat="1" applyFont="1" applyFill="1" applyBorder="1" applyAlignment="1" applyProtection="1">
      <alignment vertical="center" shrinkToFit="1"/>
    </xf>
    <xf numFmtId="179" fontId="11" fillId="5" borderId="23" xfId="0" applyNumberFormat="1" applyFont="1" applyFill="1" applyBorder="1" applyAlignment="1" applyProtection="1">
      <alignment vertical="center" shrinkToFit="1"/>
    </xf>
    <xf numFmtId="180" fontId="11" fillId="5" borderId="23" xfId="0" applyNumberFormat="1" applyFont="1" applyFill="1" applyBorder="1" applyAlignment="1" applyProtection="1">
      <alignment vertical="center" shrinkToFit="1"/>
    </xf>
    <xf numFmtId="180" fontId="11" fillId="4" borderId="23" xfId="0" applyNumberFormat="1" applyFont="1" applyFill="1" applyBorder="1" applyAlignment="1" applyProtection="1">
      <alignment vertical="center" shrinkToFit="1"/>
    </xf>
    <xf numFmtId="179" fontId="11" fillId="4" borderId="23" xfId="0" applyNumberFormat="1" applyFont="1" applyFill="1" applyBorder="1" applyAlignment="1" applyProtection="1">
      <alignment vertical="center" shrinkToFit="1"/>
    </xf>
    <xf numFmtId="179" fontId="11" fillId="8" borderId="16" xfId="0" applyNumberFormat="1" applyFont="1" applyFill="1" applyBorder="1" applyAlignment="1" applyProtection="1">
      <alignment vertical="center" shrinkToFit="1"/>
    </xf>
    <xf numFmtId="10" fontId="11" fillId="8" borderId="22" xfId="0" applyNumberFormat="1" applyFont="1" applyFill="1" applyBorder="1" applyAlignment="1" applyProtection="1">
      <alignment vertical="center" shrinkToFit="1"/>
    </xf>
    <xf numFmtId="179" fontId="11" fillId="8" borderId="14" xfId="0" applyNumberFormat="1" applyFont="1" applyFill="1" applyBorder="1" applyAlignment="1" applyProtection="1">
      <alignment vertical="center" shrinkToFit="1"/>
    </xf>
    <xf numFmtId="180" fontId="11" fillId="5" borderId="24" xfId="0" applyNumberFormat="1" applyFont="1" applyFill="1" applyBorder="1" applyAlignment="1" applyProtection="1">
      <alignment vertical="center" shrinkToFit="1"/>
    </xf>
    <xf numFmtId="179" fontId="11" fillId="15" borderId="28" xfId="0" applyNumberFormat="1" applyFont="1" applyFill="1" applyBorder="1" applyAlignment="1" applyProtection="1">
      <alignment vertical="center" shrinkToFit="1"/>
    </xf>
    <xf numFmtId="180" fontId="11" fillId="15" borderId="11" xfId="0" applyNumberFormat="1" applyFont="1" applyFill="1" applyBorder="1" applyAlignment="1" applyProtection="1">
      <alignment vertical="center" shrinkToFit="1"/>
    </xf>
    <xf numFmtId="179" fontId="11" fillId="15" borderId="11" xfId="0" applyNumberFormat="1" applyFont="1" applyFill="1" applyBorder="1" applyAlignment="1" applyProtection="1">
      <alignment vertical="center" shrinkToFit="1"/>
    </xf>
    <xf numFmtId="179" fontId="11" fillId="8" borderId="43" xfId="0" applyNumberFormat="1" applyFont="1" applyFill="1" applyBorder="1" applyAlignment="1" applyProtection="1">
      <alignment vertical="center" shrinkToFit="1"/>
    </xf>
    <xf numFmtId="179" fontId="11" fillId="4" borderId="45" xfId="0" applyNumberFormat="1" applyFont="1" applyFill="1" applyBorder="1" applyAlignment="1" applyProtection="1">
      <alignment vertical="center" shrinkToFit="1"/>
    </xf>
    <xf numFmtId="179" fontId="11" fillId="4" borderId="96" xfId="0" applyNumberFormat="1" applyFont="1" applyFill="1" applyBorder="1" applyAlignment="1" applyProtection="1">
      <alignment vertical="center" shrinkToFit="1"/>
    </xf>
    <xf numFmtId="9" fontId="11" fillId="4" borderId="11" xfId="0" applyNumberFormat="1" applyFont="1" applyFill="1" applyBorder="1" applyAlignment="1" applyProtection="1">
      <alignment vertical="center" shrinkToFit="1"/>
    </xf>
    <xf numFmtId="9" fontId="11" fillId="4" borderId="24" xfId="0" applyNumberFormat="1" applyFont="1" applyFill="1" applyBorder="1" applyAlignment="1" applyProtection="1">
      <alignment vertical="center" shrinkToFit="1"/>
    </xf>
    <xf numFmtId="9" fontId="11" fillId="4" borderId="12" xfId="0" applyNumberFormat="1" applyFont="1" applyFill="1" applyBorder="1" applyAlignment="1" applyProtection="1">
      <alignment vertical="center" shrinkToFit="1"/>
    </xf>
    <xf numFmtId="10" fontId="11" fillId="8" borderId="10" xfId="0" applyNumberFormat="1" applyFont="1" applyFill="1" applyBorder="1" applyAlignment="1" applyProtection="1">
      <alignment vertical="center" shrinkToFit="1"/>
    </xf>
    <xf numFmtId="10" fontId="11" fillId="8" borderId="11" xfId="0" applyNumberFormat="1" applyFont="1" applyFill="1" applyBorder="1" applyAlignment="1" applyProtection="1">
      <alignment vertical="center" shrinkToFit="1"/>
    </xf>
    <xf numFmtId="180" fontId="11" fillId="5" borderId="26" xfId="0" applyNumberFormat="1" applyFont="1" applyFill="1" applyBorder="1" applyAlignment="1" applyProtection="1">
      <alignment vertical="center" shrinkToFit="1"/>
    </xf>
    <xf numFmtId="179" fontId="11" fillId="5" borderId="10" xfId="0" applyNumberFormat="1" applyFont="1" applyFill="1" applyBorder="1" applyAlignment="1" applyProtection="1">
      <alignment vertical="center" shrinkToFit="1"/>
    </xf>
    <xf numFmtId="180" fontId="11" fillId="5" borderId="10" xfId="0" applyNumberFormat="1" applyFont="1" applyFill="1" applyBorder="1" applyAlignment="1" applyProtection="1">
      <alignment vertical="center" shrinkToFit="1"/>
    </xf>
    <xf numFmtId="180" fontId="11" fillId="5" borderId="28" xfId="0" applyNumberFormat="1" applyFont="1" applyFill="1" applyBorder="1" applyAlignment="1" applyProtection="1">
      <alignment vertical="center" shrinkToFit="1"/>
    </xf>
    <xf numFmtId="179" fontId="11" fillId="4" borderId="36" xfId="0" applyNumberFormat="1" applyFont="1" applyFill="1" applyBorder="1" applyAlignment="1" applyProtection="1">
      <alignment vertical="center" shrinkToFit="1"/>
    </xf>
    <xf numFmtId="179" fontId="11" fillId="4" borderId="24" xfId="0" applyNumberFormat="1" applyFont="1" applyFill="1" applyBorder="1" applyAlignment="1" applyProtection="1">
      <alignment vertical="center" shrinkToFit="1"/>
    </xf>
    <xf numFmtId="179" fontId="11" fillId="4" borderId="37" xfId="0" applyNumberFormat="1" applyFont="1" applyFill="1" applyBorder="1" applyAlignment="1" applyProtection="1">
      <alignment vertical="center" shrinkToFit="1"/>
    </xf>
    <xf numFmtId="180" fontId="11" fillId="4" borderId="25" xfId="0" applyNumberFormat="1" applyFont="1" applyFill="1" applyBorder="1" applyAlignment="1" applyProtection="1">
      <alignment vertical="center" shrinkToFit="1"/>
    </xf>
    <xf numFmtId="179" fontId="11" fillId="4" borderId="25" xfId="0" applyNumberFormat="1" applyFont="1" applyFill="1" applyBorder="1" applyAlignment="1" applyProtection="1">
      <alignment vertical="center" shrinkToFit="1"/>
    </xf>
    <xf numFmtId="180" fontId="11" fillId="8" borderId="26" xfId="0" applyNumberFormat="1" applyFont="1" applyFill="1" applyBorder="1" applyAlignment="1" applyProtection="1">
      <alignment vertical="center" shrinkToFit="1"/>
    </xf>
    <xf numFmtId="180" fontId="11" fillId="8" borderId="28" xfId="0" applyNumberFormat="1" applyFont="1" applyFill="1" applyBorder="1" applyAlignment="1" applyProtection="1">
      <alignment vertical="center" shrinkToFit="1"/>
    </xf>
    <xf numFmtId="179" fontId="11" fillId="5" borderId="36" xfId="0" applyNumberFormat="1" applyFont="1" applyFill="1" applyBorder="1" applyAlignment="1" applyProtection="1">
      <alignment vertical="center" shrinkToFit="1"/>
    </xf>
    <xf numFmtId="180" fontId="11" fillId="5" borderId="12" xfId="0" applyNumberFormat="1" applyFont="1" applyFill="1" applyBorder="1" applyAlignment="1" applyProtection="1">
      <alignment vertical="center" shrinkToFit="1"/>
    </xf>
    <xf numFmtId="179" fontId="11" fillId="5" borderId="12" xfId="0" applyNumberFormat="1" applyFont="1" applyFill="1" applyBorder="1" applyAlignment="1" applyProtection="1">
      <alignment vertical="center" shrinkToFit="1"/>
    </xf>
    <xf numFmtId="179" fontId="11" fillId="18" borderId="17" xfId="0" applyNumberFormat="1" applyFont="1" applyFill="1" applyBorder="1" applyAlignment="1" applyProtection="1">
      <alignment vertical="center" shrinkToFit="1"/>
    </xf>
    <xf numFmtId="180" fontId="11" fillId="5" borderId="18" xfId="0" applyNumberFormat="1" applyFont="1" applyFill="1" applyBorder="1" applyAlignment="1" applyProtection="1">
      <alignment vertical="center" shrinkToFit="1"/>
    </xf>
    <xf numFmtId="179" fontId="11" fillId="5" borderId="17" xfId="0" applyNumberFormat="1" applyFont="1" applyFill="1" applyBorder="1" applyAlignment="1" applyProtection="1">
      <alignment vertical="center" shrinkToFit="1"/>
    </xf>
    <xf numFmtId="179" fontId="11" fillId="5" borderId="18" xfId="0" applyNumberFormat="1" applyFont="1" applyFill="1" applyBorder="1" applyAlignment="1" applyProtection="1">
      <alignment vertical="center" shrinkToFit="1"/>
    </xf>
    <xf numFmtId="180" fontId="11" fillId="4" borderId="21" xfId="0" applyNumberFormat="1" applyFont="1" applyFill="1" applyBorder="1" applyAlignment="1" applyProtection="1">
      <alignment vertical="center" shrinkToFit="1"/>
    </xf>
    <xf numFmtId="179" fontId="11" fillId="4" borderId="21" xfId="0" applyNumberFormat="1" applyFont="1" applyFill="1" applyBorder="1" applyAlignment="1" applyProtection="1">
      <alignment vertical="center" shrinkToFit="1"/>
    </xf>
    <xf numFmtId="179" fontId="11" fillId="4" borderId="33" xfId="0" applyNumberFormat="1" applyFont="1" applyFill="1" applyBorder="1" applyAlignment="1" applyProtection="1">
      <alignment vertical="center" shrinkToFit="1"/>
    </xf>
    <xf numFmtId="177" fontId="9" fillId="2" borderId="0" xfId="0" applyNumberFormat="1" applyFont="1" applyFill="1" applyAlignment="1" applyProtection="1">
      <alignment vertical="center" shrinkToFit="1"/>
    </xf>
    <xf numFmtId="177" fontId="12" fillId="2" borderId="0" xfId="0" applyNumberFormat="1" applyFont="1" applyFill="1" applyAlignment="1" applyProtection="1">
      <alignment shrinkToFit="1"/>
    </xf>
    <xf numFmtId="10" fontId="12" fillId="13" borderId="116" xfId="0" applyNumberFormat="1" applyFont="1" applyFill="1" applyBorder="1" applyAlignment="1" applyProtection="1">
      <alignment vertical="center" shrinkToFit="1"/>
    </xf>
    <xf numFmtId="177" fontId="12" fillId="8" borderId="91" xfId="0" applyNumberFormat="1" applyFont="1" applyFill="1" applyBorder="1" applyAlignment="1" applyProtection="1">
      <alignment vertical="center" shrinkToFit="1"/>
    </xf>
    <xf numFmtId="10" fontId="12" fillId="8" borderId="10" xfId="0" applyNumberFormat="1" applyFont="1" applyFill="1" applyBorder="1" applyAlignment="1" applyProtection="1">
      <alignment vertical="center" shrinkToFit="1"/>
    </xf>
    <xf numFmtId="177" fontId="12" fillId="8" borderId="10" xfId="0" applyNumberFormat="1" applyFont="1" applyFill="1" applyBorder="1" applyAlignment="1" applyProtection="1">
      <alignment vertical="center" shrinkToFit="1"/>
    </xf>
    <xf numFmtId="177" fontId="12" fillId="8" borderId="92" xfId="0" applyNumberFormat="1" applyFont="1" applyFill="1" applyBorder="1" applyAlignment="1" applyProtection="1">
      <alignment vertical="center" shrinkToFit="1"/>
    </xf>
    <xf numFmtId="0" fontId="12" fillId="8" borderId="11" xfId="0" applyFont="1" applyFill="1" applyBorder="1" applyAlignment="1" applyProtection="1">
      <alignment vertical="center" shrinkToFit="1"/>
    </xf>
    <xf numFmtId="177" fontId="12" fillId="8" borderId="11" xfId="0" applyNumberFormat="1" applyFont="1" applyFill="1" applyBorder="1" applyAlignment="1" applyProtection="1">
      <alignment vertical="center" shrinkToFit="1"/>
    </xf>
    <xf numFmtId="177" fontId="12" fillId="8" borderId="93" xfId="0" applyNumberFormat="1" applyFont="1" applyFill="1" applyBorder="1" applyAlignment="1" applyProtection="1">
      <alignment vertical="center" shrinkToFit="1"/>
    </xf>
    <xf numFmtId="0" fontId="12" fillId="8" borderId="12" xfId="0" applyFont="1" applyFill="1" applyBorder="1" applyAlignment="1" applyProtection="1">
      <alignment vertical="center" shrinkToFit="1"/>
    </xf>
    <xf numFmtId="177" fontId="12" fillId="8" borderId="12" xfId="0" applyNumberFormat="1" applyFont="1" applyFill="1" applyBorder="1" applyAlignment="1" applyProtection="1">
      <alignment vertical="center" shrinkToFit="1"/>
    </xf>
    <xf numFmtId="178" fontId="12" fillId="13" borderId="19" xfId="0" applyNumberFormat="1" applyFont="1" applyFill="1" applyBorder="1" applyAlignment="1" applyProtection="1">
      <alignment vertical="center" shrinkToFit="1"/>
    </xf>
    <xf numFmtId="178" fontId="12" fillId="8" borderId="89" xfId="0" applyNumberFormat="1" applyFont="1" applyFill="1" applyBorder="1" applyAlignment="1" applyProtection="1">
      <alignment vertical="center" shrinkToFit="1"/>
    </xf>
    <xf numFmtId="178" fontId="12" fillId="8" borderId="10" xfId="0" applyNumberFormat="1" applyFont="1" applyFill="1" applyBorder="1" applyAlignment="1" applyProtection="1">
      <alignment vertical="center" shrinkToFit="1"/>
    </xf>
    <xf numFmtId="178" fontId="12" fillId="13" borderId="20" xfId="0" applyNumberFormat="1" applyFont="1" applyFill="1" applyBorder="1" applyAlignment="1" applyProtection="1">
      <alignment vertical="center" shrinkToFit="1"/>
    </xf>
    <xf numFmtId="178" fontId="12" fillId="15" borderId="90" xfId="0" applyNumberFormat="1" applyFont="1" applyFill="1" applyBorder="1" applyAlignment="1" applyProtection="1">
      <alignment vertical="center" shrinkToFit="1"/>
    </xf>
    <xf numFmtId="178" fontId="12" fillId="8" borderId="11" xfId="0" applyNumberFormat="1" applyFont="1" applyFill="1" applyBorder="1" applyAlignment="1" applyProtection="1">
      <alignment vertical="center" shrinkToFit="1"/>
    </xf>
    <xf numFmtId="178" fontId="12" fillId="13" borderId="30" xfId="0" applyNumberFormat="1" applyFont="1" applyFill="1" applyBorder="1" applyAlignment="1" applyProtection="1">
      <alignment vertical="center" shrinkToFit="1"/>
    </xf>
    <xf numFmtId="178" fontId="12" fillId="15" borderId="117" xfId="0" applyNumberFormat="1" applyFont="1" applyFill="1" applyBorder="1" applyAlignment="1" applyProtection="1">
      <alignment vertical="center" shrinkToFit="1"/>
    </xf>
    <xf numFmtId="178" fontId="12" fillId="8" borderId="12" xfId="0" applyNumberFormat="1" applyFont="1" applyFill="1" applyBorder="1" applyAlignment="1" applyProtection="1">
      <alignment vertical="center" shrinkToFit="1"/>
    </xf>
    <xf numFmtId="177" fontId="11" fillId="8" borderId="91" xfId="0" applyNumberFormat="1" applyFont="1" applyFill="1" applyBorder="1" applyAlignment="1" applyProtection="1">
      <alignment vertical="center" shrinkToFit="1"/>
    </xf>
    <xf numFmtId="176" fontId="11" fillId="8" borderId="10" xfId="0" applyNumberFormat="1" applyFont="1" applyFill="1" applyBorder="1" applyAlignment="1" applyProtection="1">
      <alignment vertical="center" shrinkToFit="1"/>
    </xf>
    <xf numFmtId="177" fontId="11" fillId="8" borderId="10" xfId="0" applyNumberFormat="1" applyFont="1" applyFill="1" applyBorder="1" applyAlignment="1" applyProtection="1">
      <alignment vertical="center" shrinkToFit="1"/>
    </xf>
    <xf numFmtId="177" fontId="11" fillId="8" borderId="92" xfId="0" applyNumberFormat="1" applyFont="1" applyFill="1" applyBorder="1" applyAlignment="1" applyProtection="1">
      <alignment vertical="center" shrinkToFit="1"/>
    </xf>
    <xf numFmtId="176" fontId="11" fillId="8" borderId="11" xfId="0" applyNumberFormat="1" applyFont="1" applyFill="1" applyBorder="1" applyAlignment="1" applyProtection="1">
      <alignment vertical="center" shrinkToFit="1"/>
    </xf>
    <xf numFmtId="177" fontId="11" fillId="8" borderId="11" xfId="0" applyNumberFormat="1" applyFont="1" applyFill="1" applyBorder="1" applyAlignment="1" applyProtection="1">
      <alignment vertical="center" shrinkToFit="1"/>
    </xf>
    <xf numFmtId="177" fontId="11" fillId="8" borderId="93" xfId="0" applyNumberFormat="1" applyFont="1" applyFill="1" applyBorder="1" applyAlignment="1" applyProtection="1">
      <alignment vertical="center" shrinkToFit="1"/>
    </xf>
    <xf numFmtId="176" fontId="11" fillId="8" borderId="12" xfId="0" applyNumberFormat="1" applyFont="1" applyFill="1" applyBorder="1" applyAlignment="1" applyProtection="1">
      <alignment vertical="center" shrinkToFit="1"/>
    </xf>
    <xf numFmtId="177" fontId="11" fillId="8" borderId="12" xfId="0" applyNumberFormat="1" applyFont="1" applyFill="1" applyBorder="1" applyAlignment="1" applyProtection="1">
      <alignment vertical="center" shrinkToFit="1"/>
    </xf>
    <xf numFmtId="9" fontId="12" fillId="13" borderId="34" xfId="0" applyNumberFormat="1" applyFont="1" applyFill="1" applyBorder="1" applyAlignment="1" applyProtection="1">
      <alignment vertical="center" shrinkToFit="1"/>
    </xf>
    <xf numFmtId="9" fontId="12" fillId="8" borderId="10" xfId="0" applyNumberFormat="1" applyFont="1" applyFill="1" applyBorder="1" applyAlignment="1" applyProtection="1">
      <alignment vertical="center" shrinkToFit="1"/>
    </xf>
    <xf numFmtId="9" fontId="12" fillId="13" borderId="20" xfId="0" applyNumberFormat="1" applyFont="1" applyFill="1" applyBorder="1" applyAlignment="1" applyProtection="1">
      <alignment vertical="center" shrinkToFit="1"/>
    </xf>
    <xf numFmtId="178" fontId="12" fillId="8" borderId="90" xfId="0" applyNumberFormat="1" applyFont="1" applyFill="1" applyBorder="1" applyAlignment="1" applyProtection="1">
      <alignment vertical="center" shrinkToFit="1"/>
    </xf>
    <xf numFmtId="9" fontId="12" fillId="8" borderId="11" xfId="0" applyNumberFormat="1" applyFont="1" applyFill="1" applyBorder="1" applyAlignment="1" applyProtection="1">
      <alignment vertical="center" shrinkToFit="1"/>
    </xf>
    <xf numFmtId="9" fontId="12" fillId="13" borderId="30" xfId="0" applyNumberFormat="1" applyFont="1" applyFill="1" applyBorder="1" applyAlignment="1" applyProtection="1">
      <alignment vertical="center" shrinkToFit="1"/>
    </xf>
    <xf numFmtId="178" fontId="12" fillId="8" borderId="117" xfId="0" applyNumberFormat="1" applyFont="1" applyFill="1" applyBorder="1" applyAlignment="1" applyProtection="1">
      <alignment vertical="center" shrinkToFit="1"/>
    </xf>
    <xf numFmtId="9" fontId="12" fillId="8" borderId="12" xfId="0" applyNumberFormat="1" applyFont="1" applyFill="1" applyBorder="1" applyAlignment="1" applyProtection="1">
      <alignment vertical="center" shrinkToFit="1"/>
    </xf>
    <xf numFmtId="177" fontId="11" fillId="15" borderId="114" xfId="0" applyNumberFormat="1" applyFont="1" applyFill="1" applyBorder="1" applyAlignment="1" applyProtection="1">
      <alignment vertical="center" shrinkToFit="1"/>
    </xf>
    <xf numFmtId="177" fontId="12" fillId="13" borderId="34" xfId="0" applyNumberFormat="1" applyFont="1" applyFill="1" applyBorder="1" applyAlignment="1" applyProtection="1">
      <alignment vertical="center" shrinkToFit="1"/>
    </xf>
    <xf numFmtId="177" fontId="12" fillId="13" borderId="20" xfId="0" applyNumberFormat="1" applyFont="1" applyFill="1" applyBorder="1" applyAlignment="1" applyProtection="1">
      <alignment vertical="center" shrinkToFit="1"/>
    </xf>
    <xf numFmtId="177" fontId="12" fillId="13" borderId="30" xfId="0" applyNumberFormat="1" applyFont="1" applyFill="1" applyBorder="1" applyAlignment="1" applyProtection="1">
      <alignment vertical="center" shrinkToFit="1"/>
    </xf>
    <xf numFmtId="179" fontId="11" fillId="0" borderId="97" xfId="0" applyNumberFormat="1" applyFont="1" applyFill="1" applyBorder="1" applyAlignment="1" applyProtection="1">
      <alignment vertical="center" shrinkToFit="1"/>
      <protection locked="0"/>
    </xf>
    <xf numFmtId="179" fontId="11" fillId="0" borderId="99" xfId="0" applyNumberFormat="1" applyFont="1" applyFill="1" applyBorder="1" applyAlignment="1" applyProtection="1">
      <alignment vertical="center" shrinkToFit="1"/>
      <protection locked="0"/>
    </xf>
    <xf numFmtId="179" fontId="11" fillId="0" borderId="98" xfId="0" applyNumberFormat="1" applyFont="1" applyFill="1" applyBorder="1" applyAlignment="1" applyProtection="1">
      <alignment vertical="center" shrinkToFit="1"/>
      <protection locked="0"/>
    </xf>
    <xf numFmtId="0" fontId="12" fillId="2" borderId="115" xfId="0" applyFont="1" applyFill="1" applyBorder="1" applyAlignment="1" applyProtection="1">
      <alignment vertical="center" shrinkToFit="1"/>
      <protection locked="0"/>
    </xf>
    <xf numFmtId="0" fontId="12" fillId="2" borderId="98" xfId="0" applyFont="1" applyFill="1" applyBorder="1" applyAlignment="1" applyProtection="1">
      <alignment vertical="center" shrinkToFit="1"/>
      <protection locked="0"/>
    </xf>
    <xf numFmtId="0" fontId="12" fillId="2" borderId="99" xfId="0" applyFont="1" applyFill="1" applyBorder="1" applyAlignment="1" applyProtection="1">
      <alignment vertical="center" shrinkToFit="1"/>
      <protection locked="0"/>
    </xf>
    <xf numFmtId="176" fontId="11" fillId="2" borderId="97" xfId="0" applyNumberFormat="1" applyFont="1" applyFill="1" applyBorder="1" applyAlignment="1" applyProtection="1">
      <alignment vertical="center" shrinkToFit="1"/>
      <protection locked="0"/>
    </xf>
    <xf numFmtId="176" fontId="11" fillId="2" borderId="98" xfId="0" applyNumberFormat="1" applyFont="1" applyFill="1" applyBorder="1" applyAlignment="1" applyProtection="1">
      <alignment vertical="center" shrinkToFit="1"/>
      <protection locked="0"/>
    </xf>
    <xf numFmtId="176" fontId="11" fillId="2" borderId="99" xfId="0" applyNumberFormat="1" applyFont="1" applyFill="1" applyBorder="1" applyAlignment="1" applyProtection="1">
      <alignment vertical="center" shrinkToFit="1"/>
      <protection locked="0"/>
    </xf>
    <xf numFmtId="179" fontId="12" fillId="2" borderId="111" xfId="0" applyNumberFormat="1" applyFont="1" applyFill="1" applyBorder="1" applyAlignment="1" applyProtection="1">
      <alignment vertical="center" shrinkToFit="1"/>
      <protection locked="0"/>
    </xf>
    <xf numFmtId="179" fontId="11" fillId="6" borderId="112" xfId="0" applyNumberFormat="1" applyFont="1" applyFill="1" applyBorder="1" applyAlignment="1" applyProtection="1">
      <alignment vertical="center" shrinkToFit="1"/>
      <protection locked="0"/>
    </xf>
    <xf numFmtId="179" fontId="11" fillId="6" borderId="113" xfId="0" applyNumberFormat="1" applyFont="1" applyFill="1" applyBorder="1" applyAlignment="1" applyProtection="1">
      <alignment vertical="center" shrinkToFit="1"/>
      <protection locked="0"/>
    </xf>
    <xf numFmtId="180" fontId="11" fillId="8" borderId="95" xfId="0" applyNumberFormat="1" applyFont="1" applyFill="1" applyBorder="1" applyAlignment="1" applyProtection="1">
      <alignment vertical="center" shrinkToFit="1"/>
    </xf>
    <xf numFmtId="180" fontId="11" fillId="14" borderId="123" xfId="0" applyNumberFormat="1" applyFont="1" applyFill="1" applyBorder="1" applyAlignment="1" applyProtection="1">
      <alignment vertical="center" shrinkToFit="1"/>
    </xf>
    <xf numFmtId="180" fontId="11" fillId="14" borderId="124" xfId="0" applyNumberFormat="1" applyFont="1" applyFill="1" applyBorder="1" applyAlignment="1" applyProtection="1">
      <alignment vertical="center" shrinkToFit="1"/>
    </xf>
    <xf numFmtId="180" fontId="11" fillId="14" borderId="125" xfId="0" applyNumberFormat="1" applyFont="1" applyFill="1" applyBorder="1" applyAlignment="1" applyProtection="1">
      <alignment vertical="center" shrinkToFit="1"/>
    </xf>
    <xf numFmtId="179" fontId="11" fillId="0" borderId="126" xfId="0" applyNumberFormat="1" applyFont="1" applyFill="1" applyBorder="1" applyAlignment="1" applyProtection="1">
      <alignment vertical="center" shrinkToFit="1"/>
      <protection locked="0"/>
    </xf>
    <xf numFmtId="179" fontId="11" fillId="13" borderId="127" xfId="0" applyNumberFormat="1" applyFont="1" applyFill="1" applyBorder="1" applyAlignment="1" applyProtection="1">
      <alignment vertical="center" shrinkToFit="1"/>
      <protection locked="0"/>
    </xf>
    <xf numFmtId="179" fontId="11" fillId="13" borderId="120" xfId="0" applyNumberFormat="1" applyFont="1" applyFill="1" applyBorder="1" applyAlignment="1" applyProtection="1">
      <alignment vertical="center" shrinkToFit="1"/>
      <protection locked="0"/>
    </xf>
    <xf numFmtId="179" fontId="11" fillId="13" borderId="121" xfId="0" applyNumberFormat="1" applyFont="1" applyFill="1" applyBorder="1" applyAlignment="1" applyProtection="1">
      <alignment vertical="center" shrinkToFit="1"/>
      <protection locked="0"/>
    </xf>
    <xf numFmtId="179" fontId="11" fillId="13" borderId="122" xfId="0" applyNumberFormat="1" applyFont="1" applyFill="1" applyBorder="1" applyAlignment="1" applyProtection="1">
      <alignment vertical="center" shrinkToFit="1"/>
      <protection locked="0"/>
    </xf>
    <xf numFmtId="10" fontId="11" fillId="8" borderId="26" xfId="0" applyNumberFormat="1" applyFont="1" applyFill="1" applyBorder="1" applyAlignment="1" applyProtection="1">
      <alignment vertical="center" shrinkToFit="1"/>
    </xf>
    <xf numFmtId="10" fontId="11" fillId="8" borderId="28" xfId="0" applyNumberFormat="1" applyFont="1" applyFill="1" applyBorder="1" applyAlignment="1" applyProtection="1">
      <alignment vertical="center" shrinkToFit="1"/>
    </xf>
    <xf numFmtId="10" fontId="11" fillId="8" borderId="128" xfId="0" applyNumberFormat="1" applyFont="1" applyFill="1" applyBorder="1" applyAlignment="1" applyProtection="1">
      <alignment vertical="center" shrinkToFit="1"/>
    </xf>
    <xf numFmtId="179" fontId="11" fillId="2" borderId="129" xfId="0" applyNumberFormat="1" applyFont="1" applyFill="1" applyBorder="1" applyAlignment="1" applyProtection="1">
      <alignment vertical="center" shrinkToFit="1"/>
      <protection locked="0"/>
    </xf>
    <xf numFmtId="179" fontId="11" fillId="2" borderId="130" xfId="0" applyNumberFormat="1" applyFont="1" applyFill="1" applyBorder="1" applyAlignment="1" applyProtection="1">
      <alignment vertical="center" shrinkToFit="1"/>
      <protection locked="0"/>
    </xf>
    <xf numFmtId="179" fontId="11" fillId="2" borderId="131" xfId="0" applyNumberFormat="1" applyFont="1" applyFill="1" applyBorder="1" applyAlignment="1" applyProtection="1">
      <alignment vertical="center" shrinkToFit="1"/>
      <protection locked="0"/>
    </xf>
    <xf numFmtId="180" fontId="11" fillId="8" borderId="132" xfId="0" applyNumberFormat="1" applyFont="1" applyFill="1" applyBorder="1" applyAlignment="1" applyProtection="1">
      <alignment vertical="center" shrinkToFit="1"/>
    </xf>
    <xf numFmtId="180" fontId="11" fillId="8" borderId="96" xfId="0" applyNumberFormat="1" applyFont="1" applyFill="1" applyBorder="1" applyAlignment="1" applyProtection="1">
      <alignment vertical="center" shrinkToFit="1"/>
    </xf>
    <xf numFmtId="9" fontId="11" fillId="4" borderId="22" xfId="0" applyNumberFormat="1" applyFont="1" applyFill="1" applyBorder="1" applyAlignment="1" applyProtection="1">
      <alignment vertical="center" shrinkToFit="1"/>
    </xf>
    <xf numFmtId="180" fontId="11" fillId="8" borderId="133" xfId="0" applyNumberFormat="1" applyFont="1" applyFill="1" applyBorder="1" applyAlignment="1" applyProtection="1">
      <alignment vertical="center" shrinkToFit="1"/>
    </xf>
    <xf numFmtId="180" fontId="11" fillId="6" borderId="119" xfId="0" applyNumberFormat="1" applyFont="1" applyFill="1" applyBorder="1" applyAlignment="1" applyProtection="1">
      <alignment vertical="center" shrinkToFit="1"/>
      <protection locked="0"/>
    </xf>
    <xf numFmtId="180" fontId="11" fillId="6" borderId="134" xfId="0" applyNumberFormat="1" applyFont="1" applyFill="1" applyBorder="1" applyAlignment="1" applyProtection="1">
      <alignment vertical="center" shrinkToFit="1"/>
      <protection locked="0"/>
    </xf>
    <xf numFmtId="180" fontId="11" fillId="6" borderId="135" xfId="0" applyNumberFormat="1" applyFont="1" applyFill="1" applyBorder="1" applyAlignment="1" applyProtection="1">
      <alignment vertical="center" shrinkToFit="1"/>
      <protection locked="0"/>
    </xf>
    <xf numFmtId="179" fontId="11" fillId="6" borderId="118" xfId="0" applyNumberFormat="1" applyFont="1" applyFill="1" applyBorder="1" applyAlignment="1" applyProtection="1">
      <alignment vertical="center" shrinkToFit="1"/>
      <protection locked="0"/>
    </xf>
    <xf numFmtId="179" fontId="11" fillId="2" borderId="118" xfId="0" applyNumberFormat="1" applyFont="1" applyFill="1" applyBorder="1" applyAlignment="1" applyProtection="1">
      <alignment vertical="center" shrinkToFit="1"/>
      <protection locked="0"/>
    </xf>
    <xf numFmtId="180" fontId="11" fillId="2" borderId="118" xfId="0" applyNumberFormat="1" applyFont="1" applyFill="1" applyBorder="1" applyAlignment="1" applyProtection="1">
      <alignment vertical="center" shrinkToFit="1"/>
      <protection locked="0"/>
    </xf>
    <xf numFmtId="10" fontId="11" fillId="6" borderId="118" xfId="0" applyNumberFormat="1" applyFont="1" applyFill="1" applyBorder="1" applyAlignment="1" applyProtection="1">
      <alignment vertical="center" shrinkToFit="1"/>
      <protection locked="0"/>
    </xf>
    <xf numFmtId="179" fontId="11" fillId="2" borderId="136" xfId="0" applyNumberFormat="1" applyFont="1" applyFill="1" applyBorder="1" applyAlignment="1" applyProtection="1">
      <alignment vertical="center" shrinkToFit="1"/>
      <protection locked="0"/>
    </xf>
    <xf numFmtId="179" fontId="11" fillId="2" borderId="137" xfId="0" applyNumberFormat="1" applyFont="1" applyFill="1" applyBorder="1" applyAlignment="1" applyProtection="1">
      <alignment vertical="center" shrinkToFit="1"/>
      <protection locked="0"/>
    </xf>
    <xf numFmtId="180" fontId="11" fillId="8" borderId="91" xfId="0" applyNumberFormat="1" applyFont="1" applyFill="1" applyBorder="1" applyAlignment="1">
      <alignment vertical="center" shrinkToFit="1"/>
    </xf>
    <xf numFmtId="179" fontId="11" fillId="2" borderId="138" xfId="0" applyNumberFormat="1" applyFont="1" applyFill="1" applyBorder="1" applyAlignment="1" applyProtection="1">
      <alignment vertical="center" shrinkToFit="1"/>
      <protection locked="0"/>
    </xf>
    <xf numFmtId="180" fontId="11" fillId="8" borderId="105" xfId="0" applyNumberFormat="1" applyFont="1" applyFill="1" applyBorder="1" applyAlignment="1">
      <alignment vertical="center" shrinkToFit="1"/>
    </xf>
    <xf numFmtId="179" fontId="11" fillId="8" borderId="14" xfId="0" applyNumberFormat="1" applyFont="1" applyFill="1" applyBorder="1" applyAlignment="1">
      <alignment vertical="center" shrinkToFit="1"/>
    </xf>
    <xf numFmtId="9" fontId="11" fillId="2" borderId="139" xfId="0" applyNumberFormat="1" applyFont="1" applyFill="1" applyBorder="1" applyAlignment="1" applyProtection="1">
      <alignment vertical="center" shrinkToFit="1"/>
      <protection locked="0"/>
    </xf>
    <xf numFmtId="180" fontId="11" fillId="2" borderId="140" xfId="0" applyNumberFormat="1" applyFont="1" applyFill="1" applyBorder="1" applyAlignment="1" applyProtection="1">
      <alignment vertical="center" shrinkToFit="1"/>
      <protection locked="0"/>
    </xf>
    <xf numFmtId="180" fontId="11" fillId="2" borderId="141" xfId="0" applyNumberFormat="1" applyFont="1" applyFill="1" applyBorder="1" applyAlignment="1" applyProtection="1">
      <alignment vertical="center" shrinkToFit="1"/>
      <protection locked="0"/>
    </xf>
    <xf numFmtId="180" fontId="11" fillId="2" borderId="138" xfId="0" applyNumberFormat="1" applyFont="1" applyFill="1" applyBorder="1" applyAlignment="1" applyProtection="1">
      <alignment vertical="center" shrinkToFit="1"/>
      <protection locked="0"/>
    </xf>
    <xf numFmtId="180" fontId="11" fillId="2" borderId="139" xfId="0" applyNumberFormat="1" applyFont="1" applyFill="1" applyBorder="1" applyAlignment="1" applyProtection="1">
      <alignment vertical="center" shrinkToFit="1"/>
      <protection locked="0"/>
    </xf>
    <xf numFmtId="180" fontId="11" fillId="5" borderId="22" xfId="0" applyNumberFormat="1" applyFont="1" applyFill="1" applyBorder="1" applyAlignment="1">
      <alignment vertical="center" shrinkToFit="1"/>
    </xf>
    <xf numFmtId="179" fontId="11" fillId="2" borderId="142" xfId="0" applyNumberFormat="1" applyFont="1" applyFill="1" applyBorder="1" applyAlignment="1" applyProtection="1">
      <alignment vertical="center" shrinkToFit="1"/>
      <protection locked="0"/>
    </xf>
    <xf numFmtId="180" fontId="11" fillId="6" borderId="139" xfId="0" applyNumberFormat="1" applyFont="1" applyFill="1" applyBorder="1" applyAlignment="1" applyProtection="1">
      <alignment vertical="center" shrinkToFit="1"/>
      <protection locked="0"/>
    </xf>
    <xf numFmtId="180" fontId="11" fillId="6" borderId="141" xfId="0" applyNumberFormat="1" applyFont="1" applyFill="1" applyBorder="1" applyAlignment="1" applyProtection="1">
      <alignment vertical="center" shrinkToFit="1"/>
      <protection locked="0"/>
    </xf>
    <xf numFmtId="180" fontId="11" fillId="6" borderId="138" xfId="0" applyNumberFormat="1" applyFont="1" applyFill="1" applyBorder="1" applyAlignment="1" applyProtection="1">
      <alignment vertical="center" shrinkToFit="1"/>
      <protection locked="0"/>
    </xf>
    <xf numFmtId="180" fontId="11" fillId="4" borderId="22" xfId="0" applyNumberFormat="1" applyFont="1" applyFill="1" applyBorder="1" applyAlignment="1">
      <alignment vertical="center" shrinkToFit="1"/>
    </xf>
    <xf numFmtId="179" fontId="11" fillId="8" borderId="16" xfId="0" applyNumberFormat="1" applyFont="1" applyFill="1" applyBorder="1" applyAlignment="1">
      <alignment vertical="center" shrinkToFit="1"/>
    </xf>
    <xf numFmtId="180" fontId="11" fillId="6" borderId="142" xfId="0" applyNumberFormat="1" applyFont="1" applyFill="1" applyBorder="1" applyAlignment="1" applyProtection="1">
      <alignment vertical="center" shrinkToFit="1"/>
      <protection locked="0"/>
    </xf>
    <xf numFmtId="177" fontId="11" fillId="4" borderId="22" xfId="0" applyNumberFormat="1" applyFont="1" applyFill="1" applyBorder="1" applyAlignment="1">
      <alignment vertical="center" shrinkToFit="1"/>
    </xf>
    <xf numFmtId="180" fontId="11" fillId="5" borderId="96" xfId="0" applyNumberFormat="1" applyFont="1" applyFill="1" applyBorder="1" applyAlignment="1">
      <alignment vertical="center" shrinkToFit="1"/>
    </xf>
    <xf numFmtId="179" fontId="11" fillId="4" borderId="17" xfId="0" applyNumberFormat="1" applyFont="1" applyFill="1" applyBorder="1" applyAlignment="1">
      <alignment vertical="center" shrinkToFit="1"/>
    </xf>
    <xf numFmtId="179" fontId="11" fillId="8" borderId="43" xfId="0" applyNumberFormat="1" applyFont="1" applyFill="1" applyBorder="1" applyAlignment="1">
      <alignment vertical="center" shrinkToFit="1"/>
    </xf>
    <xf numFmtId="0" fontId="2" fillId="4" borderId="38" xfId="0" applyFont="1" applyFill="1" applyBorder="1" applyAlignment="1">
      <alignment horizontal="distributed" vertical="center" shrinkToFit="1"/>
    </xf>
    <xf numFmtId="0" fontId="2" fillId="4" borderId="39" xfId="0" applyFont="1" applyFill="1" applyBorder="1" applyAlignment="1">
      <alignment horizontal="distributed" vertical="center" shrinkToFit="1"/>
    </xf>
    <xf numFmtId="0" fontId="2" fillId="4" borderId="67" xfId="0" applyFont="1" applyFill="1" applyBorder="1" applyAlignment="1">
      <alignment horizontal="distributed" vertical="center" shrinkToFit="1"/>
    </xf>
    <xf numFmtId="0" fontId="2" fillId="2" borderId="43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distributed" shrinkToFit="1"/>
    </xf>
    <xf numFmtId="0" fontId="2" fillId="2" borderId="44" xfId="0" applyFont="1" applyFill="1" applyBorder="1" applyAlignment="1">
      <alignment horizontal="center" vertical="distributed" shrinkToFit="1"/>
    </xf>
    <xf numFmtId="0" fontId="2" fillId="2" borderId="29" xfId="0" applyFont="1" applyFill="1" applyBorder="1" applyAlignment="1">
      <alignment horizontal="center" vertical="distributed" shrinkToFit="1"/>
    </xf>
    <xf numFmtId="0" fontId="2" fillId="2" borderId="51" xfId="0" applyFont="1" applyFill="1" applyBorder="1" applyAlignment="1">
      <alignment horizontal="center" vertical="center" shrinkToFit="1"/>
    </xf>
    <xf numFmtId="0" fontId="2" fillId="2" borderId="52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0" fontId="2" fillId="11" borderId="51" xfId="0" applyFont="1" applyFill="1" applyBorder="1" applyAlignment="1">
      <alignment horizontal="center" vertical="center" shrinkToFit="1"/>
    </xf>
    <xf numFmtId="0" fontId="2" fillId="11" borderId="52" xfId="0" applyFont="1" applyFill="1" applyBorder="1" applyAlignment="1">
      <alignment horizontal="center" vertical="center" shrinkToFit="1"/>
    </xf>
    <xf numFmtId="0" fontId="2" fillId="11" borderId="32" xfId="0" applyFont="1" applyFill="1" applyBorder="1" applyAlignment="1">
      <alignment horizontal="center" vertical="center" shrinkToFit="1"/>
    </xf>
    <xf numFmtId="0" fontId="8" fillId="2" borderId="70" xfId="0" applyFont="1" applyFill="1" applyBorder="1" applyAlignment="1">
      <alignment horizontal="left" vertical="center" shrinkToFit="1"/>
    </xf>
    <xf numFmtId="0" fontId="2" fillId="2" borderId="68" xfId="0" applyFont="1" applyFill="1" applyBorder="1" applyAlignment="1">
      <alignment horizontal="center" vertical="center" shrinkToFit="1"/>
    </xf>
    <xf numFmtId="0" fontId="2" fillId="2" borderId="58" xfId="0" applyFont="1" applyFill="1" applyBorder="1" applyAlignment="1">
      <alignment horizontal="center" vertical="center" shrinkToFit="1"/>
    </xf>
    <xf numFmtId="0" fontId="2" fillId="2" borderId="27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83" xfId="0" applyFont="1" applyFill="1" applyBorder="1" applyAlignment="1">
      <alignment horizontal="center" vertical="center" shrinkToFit="1"/>
    </xf>
    <xf numFmtId="0" fontId="2" fillId="2" borderId="84" xfId="0" applyFont="1" applyFill="1" applyBorder="1" applyAlignment="1">
      <alignment horizontal="center" vertical="center" shrinkToFit="1"/>
    </xf>
    <xf numFmtId="0" fontId="2" fillId="11" borderId="43" xfId="0" applyFont="1" applyFill="1" applyBorder="1" applyAlignment="1">
      <alignment horizontal="center" vertical="center" shrinkToFit="1"/>
    </xf>
    <xf numFmtId="0" fontId="2" fillId="11" borderId="44" xfId="0" applyFont="1" applyFill="1" applyBorder="1" applyAlignment="1">
      <alignment horizontal="center" vertical="center" shrinkToFit="1"/>
    </xf>
    <xf numFmtId="0" fontId="2" fillId="11" borderId="29" xfId="0" applyFont="1" applyFill="1" applyBorder="1" applyAlignment="1">
      <alignment horizontal="center" vertical="center" shrinkToFit="1"/>
    </xf>
    <xf numFmtId="0" fontId="2" fillId="12" borderId="68" xfId="0" applyFont="1" applyFill="1" applyBorder="1" applyAlignment="1">
      <alignment horizontal="distributed" vertical="center" shrinkToFit="1"/>
    </xf>
    <xf numFmtId="0" fontId="2" fillId="12" borderId="58" xfId="0" applyFont="1" applyFill="1" applyBorder="1" applyAlignment="1">
      <alignment horizontal="distributed" vertical="center" shrinkToFit="1"/>
    </xf>
    <xf numFmtId="0" fontId="2" fillId="12" borderId="27" xfId="0" applyFont="1" applyFill="1" applyBorder="1" applyAlignment="1">
      <alignment horizontal="distributed" vertical="center" shrinkToFit="1"/>
    </xf>
    <xf numFmtId="0" fontId="2" fillId="12" borderId="43" xfId="0" applyFont="1" applyFill="1" applyBorder="1" applyAlignment="1">
      <alignment horizontal="distributed" vertical="center" shrinkToFit="1"/>
    </xf>
    <xf numFmtId="0" fontId="2" fillId="12" borderId="44" xfId="0" applyFont="1" applyFill="1" applyBorder="1" applyAlignment="1">
      <alignment horizontal="distributed" vertical="center" shrinkToFit="1"/>
    </xf>
    <xf numFmtId="0" fontId="2" fillId="12" borderId="29" xfId="0" applyFont="1" applyFill="1" applyBorder="1" applyAlignment="1">
      <alignment horizontal="distributed" vertical="center" shrinkToFit="1"/>
    </xf>
    <xf numFmtId="0" fontId="2" fillId="12" borderId="51" xfId="0" applyFont="1" applyFill="1" applyBorder="1" applyAlignment="1">
      <alignment horizontal="distributed" vertical="center" shrinkToFit="1"/>
    </xf>
    <xf numFmtId="0" fontId="2" fillId="12" borderId="52" xfId="0" applyFont="1" applyFill="1" applyBorder="1" applyAlignment="1">
      <alignment horizontal="distributed" vertical="center" shrinkToFit="1"/>
    </xf>
    <xf numFmtId="0" fontId="2" fillId="12" borderId="32" xfId="0" applyFont="1" applyFill="1" applyBorder="1" applyAlignment="1">
      <alignment horizontal="distributed" vertical="center" shrinkToFit="1"/>
    </xf>
    <xf numFmtId="0" fontId="2" fillId="11" borderId="68" xfId="0" applyFont="1" applyFill="1" applyBorder="1" applyAlignment="1">
      <alignment horizontal="center" vertical="center" shrinkToFit="1"/>
    </xf>
    <xf numFmtId="0" fontId="2" fillId="11" borderId="58" xfId="0" applyFont="1" applyFill="1" applyBorder="1" applyAlignment="1">
      <alignment horizontal="center" vertical="center" shrinkToFit="1"/>
    </xf>
    <xf numFmtId="0" fontId="2" fillId="11" borderId="27" xfId="0" applyFont="1" applyFill="1" applyBorder="1" applyAlignment="1">
      <alignment horizontal="center" vertical="center" shrinkToFit="1"/>
    </xf>
    <xf numFmtId="0" fontId="2" fillId="4" borderId="69" xfId="0" applyFont="1" applyFill="1" applyBorder="1" applyAlignment="1">
      <alignment horizontal="distributed" vertical="distributed" shrinkToFit="1"/>
    </xf>
    <xf numFmtId="0" fontId="2" fillId="4" borderId="42" xfId="0" applyFont="1" applyFill="1" applyBorder="1" applyAlignment="1">
      <alignment horizontal="distributed" vertical="distributed" shrinkToFit="1"/>
    </xf>
    <xf numFmtId="0" fontId="2" fillId="4" borderId="76" xfId="0" applyFont="1" applyFill="1" applyBorder="1" applyAlignment="1">
      <alignment horizontal="distributed" vertical="distributed" shrinkToFit="1"/>
    </xf>
    <xf numFmtId="0" fontId="2" fillId="2" borderId="37" xfId="0" applyFont="1" applyFill="1" applyBorder="1" applyAlignment="1">
      <alignment horizontal="center" vertical="center" textRotation="255" shrinkToFit="1"/>
    </xf>
    <xf numFmtId="0" fontId="2" fillId="2" borderId="36" xfId="0" applyFont="1" applyFill="1" applyBorder="1" applyAlignment="1">
      <alignment horizontal="center" vertical="center" textRotation="255" shrinkToFit="1"/>
    </xf>
    <xf numFmtId="0" fontId="2" fillId="2" borderId="17" xfId="0" applyFont="1" applyFill="1" applyBorder="1" applyAlignment="1">
      <alignment horizontal="center" vertical="center" textRotation="255" shrinkToFit="1"/>
    </xf>
    <xf numFmtId="0" fontId="2" fillId="2" borderId="63" xfId="0" applyFont="1" applyFill="1" applyBorder="1" applyAlignment="1">
      <alignment horizontal="distributed" vertical="center" shrinkToFit="1"/>
    </xf>
    <xf numFmtId="0" fontId="2" fillId="2" borderId="73" xfId="0" applyFont="1" applyFill="1" applyBorder="1" applyAlignment="1">
      <alignment horizontal="distributed" vertical="center" shrinkToFit="1"/>
    </xf>
    <xf numFmtId="0" fontId="2" fillId="2" borderId="74" xfId="0" applyFont="1" applyFill="1" applyBorder="1" applyAlignment="1">
      <alignment horizontal="distributed" vertical="center" shrinkToFit="1"/>
    </xf>
    <xf numFmtId="0" fontId="2" fillId="2" borderId="72" xfId="0" applyFont="1" applyFill="1" applyBorder="1" applyAlignment="1">
      <alignment horizontal="distributed" vertical="center" shrinkToFit="1"/>
    </xf>
    <xf numFmtId="0" fontId="2" fillId="2" borderId="44" xfId="0" applyFont="1" applyFill="1" applyBorder="1" applyAlignment="1">
      <alignment horizontal="distributed" vertical="center" shrinkToFit="1"/>
    </xf>
    <xf numFmtId="0" fontId="2" fillId="2" borderId="29" xfId="0" applyFont="1" applyFill="1" applyBorder="1" applyAlignment="1">
      <alignment horizontal="distributed" vertical="center" shrinkToFit="1"/>
    </xf>
    <xf numFmtId="0" fontId="2" fillId="5" borderId="51" xfId="0" applyFont="1" applyFill="1" applyBorder="1" applyAlignment="1">
      <alignment horizontal="distributed" vertical="top" shrinkToFit="1"/>
    </xf>
    <xf numFmtId="0" fontId="2" fillId="5" borderId="52" xfId="0" applyFont="1" applyFill="1" applyBorder="1" applyAlignment="1">
      <alignment horizontal="distributed" vertical="top" shrinkToFit="1"/>
    </xf>
    <xf numFmtId="0" fontId="2" fillId="5" borderId="32" xfId="0" applyFont="1" applyFill="1" applyBorder="1" applyAlignment="1">
      <alignment horizontal="distributed" vertical="top" shrinkToFit="1"/>
    </xf>
    <xf numFmtId="0" fontId="2" fillId="4" borderId="69" xfId="0" applyFont="1" applyFill="1" applyBorder="1" applyAlignment="1">
      <alignment horizontal="distributed" vertical="center" shrinkToFit="1"/>
    </xf>
    <xf numFmtId="0" fontId="2" fillId="4" borderId="70" xfId="0" applyFont="1" applyFill="1" applyBorder="1" applyAlignment="1">
      <alignment horizontal="distributed" vertical="center" shrinkToFit="1"/>
    </xf>
    <xf numFmtId="0" fontId="2" fillId="4" borderId="71" xfId="0" applyFont="1" applyFill="1" applyBorder="1" applyAlignment="1">
      <alignment horizontal="distributed" vertical="center" shrinkToFit="1"/>
    </xf>
    <xf numFmtId="0" fontId="13" fillId="2" borderId="83" xfId="0" applyFont="1" applyFill="1" applyBorder="1" applyAlignment="1">
      <alignment horizontal="distributed" vertical="center" shrinkToFit="1"/>
    </xf>
    <xf numFmtId="0" fontId="8" fillId="2" borderId="42" xfId="0" applyFont="1" applyFill="1" applyBorder="1" applyAlignment="1">
      <alignment horizontal="left" vertical="center" shrinkToFit="1"/>
    </xf>
    <xf numFmtId="0" fontId="2" fillId="4" borderId="82" xfId="0" applyFont="1" applyFill="1" applyBorder="1" applyAlignment="1">
      <alignment horizontal="distributed" shrinkToFit="1"/>
    </xf>
    <xf numFmtId="0" fontId="2" fillId="4" borderId="52" xfId="0" applyFont="1" applyFill="1" applyBorder="1" applyAlignment="1">
      <alignment horizontal="distributed" shrinkToFit="1"/>
    </xf>
    <xf numFmtId="0" fontId="2" fillId="4" borderId="32" xfId="0" applyFont="1" applyFill="1" applyBorder="1" applyAlignment="1">
      <alignment horizontal="distributed" shrinkToFit="1"/>
    </xf>
    <xf numFmtId="0" fontId="2" fillId="5" borderId="68" xfId="0" applyFont="1" applyFill="1" applyBorder="1" applyAlignment="1">
      <alignment horizontal="center" vertical="top" shrinkToFit="1"/>
    </xf>
    <xf numFmtId="0" fontId="2" fillId="5" borderId="58" xfId="0" applyFont="1" applyFill="1" applyBorder="1" applyAlignment="1">
      <alignment horizontal="center" vertical="top" shrinkToFit="1"/>
    </xf>
    <xf numFmtId="0" fontId="2" fillId="5" borderId="27" xfId="0" applyFont="1" applyFill="1" applyBorder="1" applyAlignment="1">
      <alignment horizontal="center" vertical="top" shrinkToFit="1"/>
    </xf>
    <xf numFmtId="0" fontId="2" fillId="5" borderId="43" xfId="0" applyFont="1" applyFill="1" applyBorder="1" applyAlignment="1">
      <alignment horizontal="center" vertical="top" shrinkToFit="1"/>
    </xf>
    <xf numFmtId="0" fontId="2" fillId="5" borderId="44" xfId="0" applyFont="1" applyFill="1" applyBorder="1" applyAlignment="1">
      <alignment horizontal="center" vertical="top" shrinkToFit="1"/>
    </xf>
    <xf numFmtId="0" fontId="2" fillId="5" borderId="29" xfId="0" applyFont="1" applyFill="1" applyBorder="1" applyAlignment="1">
      <alignment horizontal="center" vertical="top" shrinkToFit="1"/>
    </xf>
    <xf numFmtId="0" fontId="2" fillId="4" borderId="51" xfId="0" applyFont="1" applyFill="1" applyBorder="1" applyAlignment="1">
      <alignment horizontal="center" vertical="distributed" shrinkToFit="1"/>
    </xf>
    <xf numFmtId="0" fontId="2" fillId="4" borderId="52" xfId="0" applyFont="1" applyFill="1" applyBorder="1" applyAlignment="1">
      <alignment horizontal="center" vertical="distributed" shrinkToFit="1"/>
    </xf>
    <xf numFmtId="0" fontId="2" fillId="4" borderId="32" xfId="0" applyFont="1" applyFill="1" applyBorder="1" applyAlignment="1">
      <alignment horizontal="center" vertical="distributed" shrinkToFit="1"/>
    </xf>
    <xf numFmtId="0" fontId="2" fillId="4" borderId="53" xfId="0" applyFont="1" applyFill="1" applyBorder="1" applyAlignment="1">
      <alignment horizontal="distributed" shrinkToFit="1"/>
    </xf>
    <xf numFmtId="0" fontId="2" fillId="4" borderId="73" xfId="0" applyFont="1" applyFill="1" applyBorder="1" applyAlignment="1">
      <alignment horizontal="distributed" shrinkToFit="1"/>
    </xf>
    <xf numFmtId="0" fontId="2" fillId="4" borderId="74" xfId="0" applyFont="1" applyFill="1" applyBorder="1" applyAlignment="1">
      <alignment horizontal="distributed" shrinkToFit="1"/>
    </xf>
    <xf numFmtId="0" fontId="2" fillId="2" borderId="53" xfId="0" applyFont="1" applyFill="1" applyBorder="1" applyAlignment="1">
      <alignment horizontal="center" vertical="top" shrinkToFit="1"/>
    </xf>
    <xf numFmtId="0" fontId="2" fillId="2" borderId="73" xfId="0" applyFont="1" applyFill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center" vertical="top" shrinkToFit="1"/>
    </xf>
    <xf numFmtId="0" fontId="2" fillId="2" borderId="0" xfId="0" applyFont="1" applyFill="1" applyAlignment="1">
      <alignment horizontal="center" vertical="top" shrinkToFit="1"/>
    </xf>
    <xf numFmtId="0" fontId="2" fillId="2" borderId="88" xfId="0" applyFont="1" applyFill="1" applyBorder="1" applyAlignment="1">
      <alignment horizontal="distributed" shrinkToFit="1"/>
    </xf>
    <xf numFmtId="0" fontId="2" fillId="2" borderId="65" xfId="0" applyFont="1" applyFill="1" applyBorder="1" applyAlignment="1">
      <alignment horizontal="distributed" shrinkToFit="1"/>
    </xf>
    <xf numFmtId="0" fontId="2" fillId="2" borderId="66" xfId="0" applyFont="1" applyFill="1" applyBorder="1" applyAlignment="1">
      <alignment horizontal="distributed" shrinkToFit="1"/>
    </xf>
    <xf numFmtId="0" fontId="2" fillId="2" borderId="38" xfId="0" applyFont="1" applyFill="1" applyBorder="1" applyAlignment="1">
      <alignment horizontal="distributed" shrinkToFit="1"/>
    </xf>
    <xf numFmtId="0" fontId="2" fillId="2" borderId="39" xfId="0" applyFont="1" applyFill="1" applyBorder="1" applyAlignment="1">
      <alignment horizontal="distributed" shrinkToFit="1"/>
    </xf>
    <xf numFmtId="0" fontId="2" fillId="2" borderId="67" xfId="0" applyFont="1" applyFill="1" applyBorder="1" applyAlignment="1">
      <alignment horizontal="distributed" shrinkToFit="1"/>
    </xf>
    <xf numFmtId="0" fontId="2" fillId="2" borderId="81" xfId="0" applyFont="1" applyFill="1" applyBorder="1" applyAlignment="1">
      <alignment horizontal="distributed" shrinkToFit="1"/>
    </xf>
    <xf numFmtId="0" fontId="2" fillId="2" borderId="49" xfId="0" applyFont="1" applyFill="1" applyBorder="1" applyAlignment="1">
      <alignment horizontal="distributed" shrinkToFit="1"/>
    </xf>
    <xf numFmtId="0" fontId="2" fillId="2" borderId="50" xfId="0" applyFont="1" applyFill="1" applyBorder="1" applyAlignment="1">
      <alignment horizontal="distributed" shrinkToFit="1"/>
    </xf>
    <xf numFmtId="0" fontId="2" fillId="5" borderId="46" xfId="0" applyFont="1" applyFill="1" applyBorder="1" applyAlignment="1">
      <alignment horizontal="distributed" shrinkToFit="1"/>
    </xf>
    <xf numFmtId="0" fontId="2" fillId="5" borderId="47" xfId="0" applyFont="1" applyFill="1" applyBorder="1" applyAlignment="1">
      <alignment horizontal="distributed" shrinkToFit="1"/>
    </xf>
    <xf numFmtId="0" fontId="2" fillId="2" borderId="53" xfId="0" applyFont="1" applyFill="1" applyBorder="1" applyAlignment="1">
      <alignment horizontal="center" vertical="distributed" textRotation="255" shrinkToFit="1"/>
    </xf>
    <xf numFmtId="0" fontId="2" fillId="2" borderId="16" xfId="0" applyFont="1" applyFill="1" applyBorder="1" applyAlignment="1">
      <alignment horizontal="center" vertical="distributed" textRotation="255" shrinkToFit="1"/>
    </xf>
    <xf numFmtId="0" fontId="2" fillId="2" borderId="75" xfId="0" applyFont="1" applyFill="1" applyBorder="1" applyAlignment="1">
      <alignment horizontal="center" vertical="distributed" textRotation="255" shrinkToFit="1"/>
    </xf>
    <xf numFmtId="0" fontId="2" fillId="2" borderId="53" xfId="0" applyFont="1" applyFill="1" applyBorder="1" applyAlignment="1">
      <alignment horizontal="left" vertical="top" shrinkToFit="1"/>
    </xf>
    <xf numFmtId="0" fontId="2" fillId="2" borderId="73" xfId="0" applyFont="1" applyFill="1" applyBorder="1" applyAlignment="1">
      <alignment horizontal="left" vertical="top" shrinkToFit="1"/>
    </xf>
    <xf numFmtId="0" fontId="2" fillId="2" borderId="16" xfId="0" applyFont="1" applyFill="1" applyBorder="1" applyAlignment="1">
      <alignment horizontal="left" vertical="top" shrinkToFit="1"/>
    </xf>
    <xf numFmtId="0" fontId="2" fillId="2" borderId="0" xfId="0" applyFont="1" applyFill="1" applyAlignment="1">
      <alignment horizontal="left" vertical="top" shrinkToFit="1"/>
    </xf>
    <xf numFmtId="0" fontId="2" fillId="2" borderId="75" xfId="0" applyFont="1" applyFill="1" applyBorder="1" applyAlignment="1">
      <alignment horizontal="left" vertical="top" shrinkToFit="1"/>
    </xf>
    <xf numFmtId="0" fontId="2" fillId="2" borderId="42" xfId="0" applyFont="1" applyFill="1" applyBorder="1" applyAlignment="1">
      <alignment horizontal="left" vertical="top" shrinkToFit="1"/>
    </xf>
    <xf numFmtId="0" fontId="2" fillId="5" borderId="52" xfId="0" applyFont="1" applyFill="1" applyBorder="1" applyAlignment="1">
      <alignment horizontal="distributed" shrinkToFit="1"/>
    </xf>
    <xf numFmtId="0" fontId="2" fillId="5" borderId="32" xfId="0" applyFont="1" applyFill="1" applyBorder="1" applyAlignment="1">
      <alignment horizontal="distributed" shrinkToFit="1"/>
    </xf>
    <xf numFmtId="0" fontId="2" fillId="5" borderId="69" xfId="0" applyFont="1" applyFill="1" applyBorder="1" applyAlignment="1">
      <alignment horizontal="distributed" vertical="top" shrinkToFit="1"/>
    </xf>
    <xf numFmtId="0" fontId="2" fillId="5" borderId="70" xfId="0" applyFont="1" applyFill="1" applyBorder="1" applyAlignment="1">
      <alignment horizontal="distributed" vertical="top" shrinkToFit="1"/>
    </xf>
    <xf numFmtId="0" fontId="2" fillId="5" borderId="71" xfId="0" applyFont="1" applyFill="1" applyBorder="1" applyAlignment="1">
      <alignment horizontal="distributed" vertical="top" shrinkToFit="1"/>
    </xf>
    <xf numFmtId="0" fontId="2" fillId="10" borderId="37" xfId="0" applyFont="1" applyFill="1" applyBorder="1" applyAlignment="1">
      <alignment horizontal="center" vertical="center" textRotation="255" shrinkToFit="1"/>
    </xf>
    <xf numFmtId="0" fontId="2" fillId="10" borderId="36" xfId="0" applyFont="1" applyFill="1" applyBorder="1" applyAlignment="1">
      <alignment horizontal="center" vertical="center" textRotation="255" shrinkToFit="1"/>
    </xf>
    <xf numFmtId="0" fontId="2" fillId="10" borderId="17" xfId="0" applyFont="1" applyFill="1" applyBorder="1" applyAlignment="1">
      <alignment horizontal="center" vertical="center" textRotation="255" shrinkToFit="1"/>
    </xf>
    <xf numFmtId="0" fontId="2" fillId="2" borderId="77" xfId="0" applyFont="1" applyFill="1" applyBorder="1" applyAlignment="1">
      <alignment horizontal="distributed" vertical="center" shrinkToFit="1"/>
    </xf>
    <xf numFmtId="0" fontId="2" fillId="2" borderId="79" xfId="0" applyFont="1" applyFill="1" applyBorder="1" applyAlignment="1">
      <alignment horizontal="distributed" vertical="center" shrinkToFit="1"/>
    </xf>
    <xf numFmtId="0" fontId="2" fillId="2" borderId="80" xfId="0" applyFont="1" applyFill="1" applyBorder="1" applyAlignment="1">
      <alignment horizontal="distributed" vertical="center" shrinkToFit="1"/>
    </xf>
    <xf numFmtId="0" fontId="2" fillId="5" borderId="38" xfId="0" applyFont="1" applyFill="1" applyBorder="1" applyAlignment="1">
      <alignment horizontal="distributed" vertical="center" shrinkToFit="1"/>
    </xf>
    <xf numFmtId="0" fontId="2" fillId="5" borderId="39" xfId="0" applyFont="1" applyFill="1" applyBorder="1" applyAlignment="1">
      <alignment horizontal="distributed" vertical="center" shrinkToFit="1"/>
    </xf>
    <xf numFmtId="0" fontId="2" fillId="5" borderId="67" xfId="0" applyFont="1" applyFill="1" applyBorder="1" applyAlignment="1">
      <alignment horizontal="distributed" vertical="center" shrinkToFit="1"/>
    </xf>
    <xf numFmtId="0" fontId="2" fillId="2" borderId="38" xfId="0" applyFont="1" applyFill="1" applyBorder="1" applyAlignment="1">
      <alignment horizontal="distributed" vertical="center" shrinkToFit="1"/>
    </xf>
    <xf numFmtId="0" fontId="2" fillId="2" borderId="39" xfId="0" applyFont="1" applyFill="1" applyBorder="1" applyAlignment="1">
      <alignment horizontal="distributed" vertical="center" shrinkToFit="1"/>
    </xf>
    <xf numFmtId="0" fontId="2" fillId="2" borderId="67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center" shrinkToFit="1"/>
    </xf>
    <xf numFmtId="0" fontId="2" fillId="4" borderId="61" xfId="0" applyFont="1" applyFill="1" applyBorder="1" applyAlignment="1">
      <alignment horizontal="distributed" vertical="center" shrinkToFit="1"/>
    </xf>
    <xf numFmtId="0" fontId="2" fillId="4" borderId="62" xfId="0" applyFont="1" applyFill="1" applyBorder="1" applyAlignment="1">
      <alignment horizontal="distributed" vertical="center" shrinkToFit="1"/>
    </xf>
    <xf numFmtId="0" fontId="2" fillId="2" borderId="63" xfId="0" applyFont="1" applyFill="1" applyBorder="1" applyAlignment="1">
      <alignment horizontal="center" vertical="center" textRotation="255" shrinkToFit="1"/>
    </xf>
    <xf numFmtId="0" fontId="2" fillId="2" borderId="13" xfId="0" applyFont="1" applyFill="1" applyBorder="1" applyAlignment="1">
      <alignment horizontal="center" vertical="center" textRotation="255" shrinkToFit="1"/>
    </xf>
    <xf numFmtId="0" fontId="2" fillId="2" borderId="15" xfId="0" applyFont="1" applyFill="1" applyBorder="1" applyAlignment="1">
      <alignment horizontal="center" vertical="center" textRotation="255" shrinkToFit="1"/>
    </xf>
    <xf numFmtId="0" fontId="2" fillId="2" borderId="64" xfId="0" applyFont="1" applyFill="1" applyBorder="1" applyAlignment="1">
      <alignment horizontal="distributed" shrinkToFit="1"/>
    </xf>
    <xf numFmtId="0" fontId="2" fillId="2" borderId="41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distributed" shrinkToFit="1"/>
    </xf>
    <xf numFmtId="0" fontId="2" fillId="5" borderId="72" xfId="0" applyFont="1" applyFill="1" applyBorder="1" applyAlignment="1">
      <alignment horizontal="center" shrinkToFit="1"/>
    </xf>
    <xf numFmtId="0" fontId="2" fillId="5" borderId="44" xfId="0" applyFont="1" applyFill="1" applyBorder="1" applyAlignment="1">
      <alignment horizontal="center" shrinkToFit="1"/>
    </xf>
    <xf numFmtId="0" fontId="2" fillId="5" borderId="29" xfId="0" applyFont="1" applyFill="1" applyBorder="1" applyAlignment="1">
      <alignment horizontal="center" shrinkToFit="1"/>
    </xf>
    <xf numFmtId="0" fontId="2" fillId="2" borderId="23" xfId="0" applyFont="1" applyFill="1" applyBorder="1" applyAlignment="1">
      <alignment horizontal="center" vertical="center" textRotation="255" shrinkToFit="1"/>
    </xf>
    <xf numFmtId="0" fontId="2" fillId="2" borderId="22" xfId="0" applyFont="1" applyFill="1" applyBorder="1" applyAlignment="1">
      <alignment horizontal="center" vertical="center" textRotation="255" shrinkToFit="1"/>
    </xf>
    <xf numFmtId="0" fontId="2" fillId="2" borderId="81" xfId="0" applyFont="1" applyFill="1" applyBorder="1" applyAlignment="1">
      <alignment horizontal="distributed" vertical="center" shrinkToFit="1"/>
    </xf>
    <xf numFmtId="0" fontId="2" fillId="2" borderId="49" xfId="0" applyFont="1" applyFill="1" applyBorder="1" applyAlignment="1">
      <alignment horizontal="distributed" vertical="center" shrinkToFit="1"/>
    </xf>
    <xf numFmtId="0" fontId="2" fillId="2" borderId="50" xfId="0" applyFont="1" applyFill="1" applyBorder="1" applyAlignment="1">
      <alignment horizontal="distributed" vertical="center" shrinkToFit="1"/>
    </xf>
    <xf numFmtId="0" fontId="2" fillId="7" borderId="37" xfId="0" applyFont="1" applyFill="1" applyBorder="1" applyAlignment="1">
      <alignment horizontal="center" vertical="center" textRotation="255" shrinkToFit="1"/>
    </xf>
    <xf numFmtId="0" fontId="2" fillId="7" borderId="36" xfId="0" applyFont="1" applyFill="1" applyBorder="1" applyAlignment="1">
      <alignment horizontal="center" vertical="center" textRotation="255" shrinkToFit="1"/>
    </xf>
    <xf numFmtId="0" fontId="2" fillId="2" borderId="48" xfId="0" applyFont="1" applyFill="1" applyBorder="1" applyAlignment="1">
      <alignment horizontal="distributed" vertical="center" shrinkToFit="1"/>
    </xf>
    <xf numFmtId="0" fontId="2" fillId="2" borderId="24" xfId="0" applyFont="1" applyFill="1" applyBorder="1" applyAlignment="1">
      <alignment horizontal="center" vertical="center" textRotation="255" shrinkToFit="1"/>
    </xf>
    <xf numFmtId="0" fontId="2" fillId="2" borderId="85" xfId="0" applyFont="1" applyFill="1" applyBorder="1" applyAlignment="1">
      <alignment horizontal="distributed" vertical="center" shrinkToFit="1"/>
    </xf>
    <xf numFmtId="0" fontId="2" fillId="2" borderId="86" xfId="0" applyFont="1" applyFill="1" applyBorder="1" applyAlignment="1">
      <alignment horizontal="distributed" vertical="center" shrinkToFit="1"/>
    </xf>
    <xf numFmtId="0" fontId="2" fillId="2" borderId="87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top" shrinkToFit="1"/>
    </xf>
    <xf numFmtId="0" fontId="2" fillId="4" borderId="61" xfId="0" applyFont="1" applyFill="1" applyBorder="1" applyAlignment="1">
      <alignment horizontal="distributed" vertical="top" shrinkToFit="1"/>
    </xf>
    <xf numFmtId="0" fontId="2" fillId="4" borderId="62" xfId="0" applyFont="1" applyFill="1" applyBorder="1" applyAlignment="1">
      <alignment horizontal="distributed" vertical="top" shrinkToFit="1"/>
    </xf>
    <xf numFmtId="0" fontId="2" fillId="2" borderId="64" xfId="0" applyFont="1" applyFill="1" applyBorder="1" applyAlignment="1">
      <alignment horizontal="center" shrinkToFit="1"/>
    </xf>
    <xf numFmtId="0" fontId="2" fillId="2" borderId="65" xfId="0" applyFont="1" applyFill="1" applyBorder="1" applyAlignment="1">
      <alignment horizontal="center" shrinkToFit="1"/>
    </xf>
    <xf numFmtId="0" fontId="2" fillId="2" borderId="66" xfId="0" applyFont="1" applyFill="1" applyBorder="1" applyAlignment="1">
      <alignment horizontal="center" shrinkToFit="1"/>
    </xf>
    <xf numFmtId="0" fontId="2" fillId="2" borderId="41" xfId="0" applyFont="1" applyFill="1" applyBorder="1" applyAlignment="1">
      <alignment horizontal="center" shrinkToFit="1"/>
    </xf>
    <xf numFmtId="0" fontId="2" fillId="2" borderId="39" xfId="0" applyFont="1" applyFill="1" applyBorder="1" applyAlignment="1">
      <alignment horizontal="center" shrinkToFit="1"/>
    </xf>
    <xf numFmtId="0" fontId="2" fillId="2" borderId="67" xfId="0" applyFont="1" applyFill="1" applyBorder="1" applyAlignment="1">
      <alignment horizontal="center" shrinkToFit="1"/>
    </xf>
    <xf numFmtId="0" fontId="2" fillId="5" borderId="77" xfId="0" applyFont="1" applyFill="1" applyBorder="1" applyAlignment="1">
      <alignment horizontal="distributed" vertical="top" shrinkToFit="1"/>
    </xf>
    <xf numFmtId="0" fontId="2" fillId="5" borderId="79" xfId="0" applyFont="1" applyFill="1" applyBorder="1" applyAlignment="1">
      <alignment horizontal="distributed" vertical="top" shrinkToFit="1"/>
    </xf>
    <xf numFmtId="0" fontId="2" fillId="5" borderId="80" xfId="0" applyFont="1" applyFill="1" applyBorder="1" applyAlignment="1">
      <alignment horizontal="distributed" vertical="top" shrinkToFit="1"/>
    </xf>
    <xf numFmtId="0" fontId="2" fillId="5" borderId="38" xfId="0" applyFont="1" applyFill="1" applyBorder="1" applyAlignment="1">
      <alignment horizontal="distributed" vertical="top" shrinkToFit="1"/>
    </xf>
    <xf numFmtId="0" fontId="2" fillId="5" borderId="39" xfId="0" applyFont="1" applyFill="1" applyBorder="1" applyAlignment="1">
      <alignment horizontal="distributed" vertical="top" shrinkToFit="1"/>
    </xf>
    <xf numFmtId="0" fontId="2" fillId="5" borderId="67" xfId="0" applyFont="1" applyFill="1" applyBorder="1" applyAlignment="1">
      <alignment horizontal="distributed" vertical="top" shrinkToFit="1"/>
    </xf>
    <xf numFmtId="0" fontId="2" fillId="4" borderId="81" xfId="0" applyFont="1" applyFill="1" applyBorder="1" applyAlignment="1">
      <alignment horizontal="distributed" vertical="center" shrinkToFit="1"/>
    </xf>
    <xf numFmtId="0" fontId="2" fillId="4" borderId="49" xfId="0" applyFont="1" applyFill="1" applyBorder="1" applyAlignment="1">
      <alignment horizontal="distributed" vertical="center" shrinkToFit="1"/>
    </xf>
    <xf numFmtId="0" fontId="2" fillId="4" borderId="50" xfId="0" applyFont="1" applyFill="1" applyBorder="1" applyAlignment="1">
      <alignment horizontal="distributed" vertical="center" shrinkToFit="1"/>
    </xf>
    <xf numFmtId="0" fontId="2" fillId="2" borderId="41" xfId="0" applyFont="1" applyFill="1" applyBorder="1" applyAlignment="1">
      <alignment horizontal="distributed" vertical="center" shrinkToFit="1"/>
    </xf>
    <xf numFmtId="0" fontId="2" fillId="2" borderId="108" xfId="0" applyFont="1" applyFill="1" applyBorder="1" applyAlignment="1">
      <alignment horizontal="distributed" vertical="center" shrinkToFit="1"/>
    </xf>
    <xf numFmtId="0" fontId="2" fillId="2" borderId="109" xfId="0" applyFont="1" applyFill="1" applyBorder="1" applyAlignment="1">
      <alignment horizontal="distributed" vertical="center" shrinkToFit="1"/>
    </xf>
    <xf numFmtId="0" fontId="2" fillId="2" borderId="110" xfId="0" applyFont="1" applyFill="1" applyBorder="1" applyAlignment="1">
      <alignment horizontal="distributed" vertical="center" shrinkToFit="1"/>
    </xf>
    <xf numFmtId="0" fontId="2" fillId="2" borderId="15" xfId="0" applyFont="1" applyFill="1" applyBorder="1" applyAlignment="1">
      <alignment horizontal="distributed" vertical="center" shrinkToFit="1"/>
    </xf>
    <xf numFmtId="0" fontId="2" fillId="2" borderId="83" xfId="0" applyFont="1" applyFill="1" applyBorder="1" applyAlignment="1">
      <alignment horizontal="distributed" vertical="center" shrinkToFit="1"/>
    </xf>
    <xf numFmtId="0" fontId="2" fillId="2" borderId="84" xfId="0" applyFont="1" applyFill="1" applyBorder="1" applyAlignment="1">
      <alignment horizontal="distributed" vertical="center" shrinkToFit="1"/>
    </xf>
    <xf numFmtId="0" fontId="2" fillId="2" borderId="107" xfId="0" applyFont="1" applyFill="1" applyBorder="1" applyAlignment="1">
      <alignment horizontal="distributed" vertical="center" shrinkToFit="1"/>
    </xf>
    <xf numFmtId="0" fontId="2" fillId="4" borderId="15" xfId="0" applyFont="1" applyFill="1" applyBorder="1" applyAlignment="1">
      <alignment horizontal="distributed" vertical="center" shrinkToFit="1"/>
    </xf>
    <xf numFmtId="0" fontId="2" fillId="4" borderId="83" xfId="0" applyFont="1" applyFill="1" applyBorder="1" applyAlignment="1">
      <alignment horizontal="distributed" vertical="center" shrinkToFit="1"/>
    </xf>
    <xf numFmtId="0" fontId="2" fillId="4" borderId="84" xfId="0" applyFont="1" applyFill="1" applyBorder="1" applyAlignment="1">
      <alignment horizontal="distributed" vertical="center" shrinkToFit="1"/>
    </xf>
    <xf numFmtId="176" fontId="2" fillId="3" borderId="55" xfId="0" applyNumberFormat="1" applyFont="1" applyFill="1" applyBorder="1" applyAlignment="1">
      <alignment horizontal="center" vertical="center"/>
    </xf>
    <xf numFmtId="176" fontId="2" fillId="3" borderId="54" xfId="0" applyNumberFormat="1" applyFont="1" applyFill="1" applyBorder="1" applyAlignment="1">
      <alignment horizontal="center" vertical="center"/>
    </xf>
    <xf numFmtId="0" fontId="2" fillId="9" borderId="68" xfId="0" applyFont="1" applyFill="1" applyBorder="1" applyAlignment="1">
      <alignment horizontal="distributed" vertical="center" shrinkToFit="1"/>
    </xf>
    <xf numFmtId="0" fontId="2" fillId="9" borderId="58" xfId="0" applyFont="1" applyFill="1" applyBorder="1" applyAlignment="1">
      <alignment horizontal="distributed" vertical="center" shrinkToFit="1"/>
    </xf>
    <xf numFmtId="0" fontId="2" fillId="9" borderId="27" xfId="0" applyFont="1" applyFill="1" applyBorder="1" applyAlignment="1">
      <alignment horizontal="distributed" vertical="center" shrinkToFit="1"/>
    </xf>
    <xf numFmtId="0" fontId="2" fillId="9" borderId="43" xfId="0" applyFont="1" applyFill="1" applyBorder="1" applyAlignment="1">
      <alignment horizontal="distributed" vertical="center" shrinkToFit="1"/>
    </xf>
    <xf numFmtId="0" fontId="2" fillId="9" borderId="44" xfId="0" applyFont="1" applyFill="1" applyBorder="1" applyAlignment="1">
      <alignment horizontal="distributed" vertical="center" shrinkToFit="1"/>
    </xf>
    <xf numFmtId="0" fontId="2" fillId="9" borderId="29" xfId="0" applyFont="1" applyFill="1" applyBorder="1" applyAlignment="1">
      <alignment horizontal="distributed" vertical="center" shrinkToFit="1"/>
    </xf>
    <xf numFmtId="0" fontId="2" fillId="9" borderId="51" xfId="0" applyFont="1" applyFill="1" applyBorder="1" applyAlignment="1">
      <alignment horizontal="distributed" vertical="center" shrinkToFit="1"/>
    </xf>
    <xf numFmtId="0" fontId="2" fillId="9" borderId="52" xfId="0" applyFont="1" applyFill="1" applyBorder="1" applyAlignment="1">
      <alignment horizontal="distributed" vertical="center" shrinkToFit="1"/>
    </xf>
    <xf numFmtId="0" fontId="2" fillId="9" borderId="32" xfId="0" applyFont="1" applyFill="1" applyBorder="1" applyAlignment="1">
      <alignment horizontal="distributed" vertical="center" shrinkToFit="1"/>
    </xf>
    <xf numFmtId="0" fontId="2" fillId="10" borderId="69" xfId="0" applyFont="1" applyFill="1" applyBorder="1" applyAlignment="1">
      <alignment horizontal="distributed" vertical="center" shrinkToFit="1"/>
    </xf>
    <xf numFmtId="0" fontId="2" fillId="10" borderId="70" xfId="0" applyFont="1" applyFill="1" applyBorder="1" applyAlignment="1">
      <alignment horizontal="distributed" vertical="center" shrinkToFit="1"/>
    </xf>
    <xf numFmtId="0" fontId="2" fillId="10" borderId="71" xfId="0" applyFont="1" applyFill="1" applyBorder="1" applyAlignment="1">
      <alignment horizontal="distributed" vertical="center" shrinkToFit="1"/>
    </xf>
    <xf numFmtId="176" fontId="9" fillId="3" borderId="55" xfId="0" applyNumberFormat="1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176" fontId="9" fillId="3" borderId="54" xfId="0" applyNumberFormat="1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57" xfId="0" applyFont="1" applyFill="1" applyBorder="1" applyAlignment="1">
      <alignment horizontal="center" vertical="center" shrinkToFit="1"/>
    </xf>
    <xf numFmtId="0" fontId="2" fillId="3" borderId="20" xfId="0" applyFont="1" applyFill="1" applyBorder="1" applyAlignment="1">
      <alignment horizontal="center" vertical="center" shrinkToFit="1"/>
    </xf>
    <xf numFmtId="0" fontId="2" fillId="3" borderId="11" xfId="0" applyFont="1" applyFill="1" applyBorder="1" applyAlignment="1">
      <alignment horizontal="center" vertical="center" shrinkToFit="1"/>
    </xf>
    <xf numFmtId="0" fontId="2" fillId="3" borderId="72" xfId="0" applyFont="1" applyFill="1" applyBorder="1" applyAlignment="1">
      <alignment horizontal="center" vertical="center" shrinkToFit="1"/>
    </xf>
    <xf numFmtId="0" fontId="2" fillId="3" borderId="30" xfId="0" applyFont="1" applyFill="1" applyBorder="1" applyAlignment="1">
      <alignment horizontal="center" vertical="center" shrinkToFit="1"/>
    </xf>
    <xf numFmtId="0" fontId="2" fillId="3" borderId="12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3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distributed" vertical="center" shrinkToFit="1"/>
    </xf>
    <xf numFmtId="0" fontId="2" fillId="7" borderId="44" xfId="0" applyFont="1" applyFill="1" applyBorder="1" applyAlignment="1">
      <alignment horizontal="distributed" vertical="center" shrinkToFit="1"/>
    </xf>
    <xf numFmtId="0" fontId="2" fillId="7" borderId="29" xfId="0" applyFont="1" applyFill="1" applyBorder="1" applyAlignment="1">
      <alignment horizontal="distributed" vertical="center" shrinkToFit="1"/>
    </xf>
    <xf numFmtId="0" fontId="2" fillId="2" borderId="40" xfId="0" applyFont="1" applyFill="1" applyBorder="1" applyAlignment="1">
      <alignment horizontal="distributed" vertical="center" shrinkToFit="1"/>
    </xf>
    <xf numFmtId="176" fontId="14" fillId="2" borderId="0" xfId="0" applyNumberFormat="1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176" fontId="14" fillId="2" borderId="42" xfId="0" applyNumberFormat="1" applyFont="1" applyFill="1" applyBorder="1" applyAlignment="1">
      <alignment horizontal="left" vertical="top" wrapText="1"/>
    </xf>
    <xf numFmtId="0" fontId="14" fillId="2" borderId="4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right" vertical="center" shrinkToFit="1"/>
    </xf>
    <xf numFmtId="0" fontId="2" fillId="2" borderId="42" xfId="0" applyFont="1" applyFill="1" applyBorder="1" applyAlignment="1">
      <alignment horizontal="right" vertical="center" shrinkToFit="1"/>
    </xf>
    <xf numFmtId="49" fontId="2" fillId="2" borderId="0" xfId="0" applyNumberFormat="1" applyFont="1" applyFill="1" applyAlignment="1">
      <alignment horizontal="center" vertical="center" shrinkToFit="1"/>
    </xf>
    <xf numFmtId="49" fontId="2" fillId="2" borderId="42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center" shrinkToFit="1"/>
    </xf>
    <xf numFmtId="0" fontId="2" fillId="2" borderId="42" xfId="0" applyFont="1" applyFill="1" applyBorder="1" applyAlignment="1">
      <alignment horizontal="left" vertical="center" shrinkToFit="1"/>
    </xf>
    <xf numFmtId="176" fontId="9" fillId="2" borderId="0" xfId="0" applyNumberFormat="1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76" fontId="9" fillId="2" borderId="42" xfId="0" applyNumberFormat="1" applyFont="1" applyFill="1" applyBorder="1" applyAlignment="1">
      <alignment horizontal="left" vertical="top" wrapText="1"/>
    </xf>
    <xf numFmtId="0" fontId="9" fillId="2" borderId="42" xfId="0" applyFont="1" applyFill="1" applyBorder="1" applyAlignment="1">
      <alignment horizontal="left" vertical="top" wrapText="1"/>
    </xf>
    <xf numFmtId="176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2" fillId="7" borderId="45" xfId="0" applyFont="1" applyFill="1" applyBorder="1" applyAlignment="1">
      <alignment horizontal="distributed" vertical="center" shrinkToFit="1"/>
    </xf>
    <xf numFmtId="0" fontId="2" fillId="7" borderId="46" xfId="0" applyFont="1" applyFill="1" applyBorder="1" applyAlignment="1">
      <alignment horizontal="distributed" vertical="center" shrinkToFit="1"/>
    </xf>
    <xf numFmtId="0" fontId="2" fillId="7" borderId="47" xfId="0" applyFont="1" applyFill="1" applyBorder="1" applyAlignment="1">
      <alignment horizontal="distributed" vertical="center" shrinkToFit="1"/>
    </xf>
    <xf numFmtId="0" fontId="2" fillId="7" borderId="48" xfId="0" applyFont="1" applyFill="1" applyBorder="1" applyAlignment="1">
      <alignment horizontal="distributed" vertical="center" shrinkToFit="1"/>
    </xf>
    <xf numFmtId="0" fontId="2" fillId="7" borderId="49" xfId="0" applyFont="1" applyFill="1" applyBorder="1" applyAlignment="1">
      <alignment horizontal="distributed" vertical="center" shrinkToFit="1"/>
    </xf>
    <xf numFmtId="0" fontId="2" fillId="7" borderId="50" xfId="0" applyFont="1" applyFill="1" applyBorder="1" applyAlignment="1">
      <alignment horizontal="distributed" vertical="center" shrinkToFit="1"/>
    </xf>
    <xf numFmtId="0" fontId="2" fillId="7" borderId="51" xfId="0" applyFont="1" applyFill="1" applyBorder="1" applyAlignment="1">
      <alignment horizontal="distributed" vertical="center" shrinkToFit="1"/>
    </xf>
    <xf numFmtId="0" fontId="2" fillId="7" borderId="52" xfId="0" applyFont="1" applyFill="1" applyBorder="1" applyAlignment="1">
      <alignment horizontal="distributed" vertical="center" shrinkToFit="1"/>
    </xf>
    <xf numFmtId="0" fontId="2" fillId="7" borderId="32" xfId="0" applyFont="1" applyFill="1" applyBorder="1" applyAlignment="1">
      <alignment horizontal="distributed" vertical="center" shrinkToFit="1"/>
    </xf>
    <xf numFmtId="0" fontId="2" fillId="2" borderId="54" xfId="0" applyFont="1" applyFill="1" applyBorder="1" applyAlignment="1">
      <alignment horizontal="center" vertical="distributed" textRotation="255" shrinkToFit="1"/>
    </xf>
    <xf numFmtId="0" fontId="2" fillId="2" borderId="55" xfId="0" applyFont="1" applyFill="1" applyBorder="1" applyAlignment="1">
      <alignment horizontal="center" vertical="distributed" textRotation="255" shrinkToFit="1"/>
    </xf>
    <xf numFmtId="0" fontId="2" fillId="2" borderId="56" xfId="0" applyFont="1" applyFill="1" applyBorder="1" applyAlignment="1">
      <alignment horizontal="center" vertical="distributed" textRotation="255" shrinkToFit="1"/>
    </xf>
    <xf numFmtId="0" fontId="2" fillId="9" borderId="37" xfId="0" applyFont="1" applyFill="1" applyBorder="1" applyAlignment="1">
      <alignment horizontal="center" vertical="center" textRotation="255" shrinkToFit="1"/>
    </xf>
    <xf numFmtId="0" fontId="2" fillId="9" borderId="36" xfId="0" applyFont="1" applyFill="1" applyBorder="1" applyAlignment="1">
      <alignment horizontal="center" vertical="center" textRotation="255" shrinkToFit="1"/>
    </xf>
    <xf numFmtId="0" fontId="2" fillId="9" borderId="17" xfId="0" applyFont="1" applyFill="1" applyBorder="1" applyAlignment="1">
      <alignment horizontal="center" vertical="center" textRotation="255" shrinkToFit="1"/>
    </xf>
    <xf numFmtId="0" fontId="2" fillId="2" borderId="57" xfId="0" applyFont="1" applyFill="1" applyBorder="1" applyAlignment="1">
      <alignment horizontal="distributed" vertical="center" shrinkToFit="1"/>
    </xf>
    <xf numFmtId="0" fontId="2" fillId="2" borderId="58" xfId="0" applyFont="1" applyFill="1" applyBorder="1" applyAlignment="1">
      <alignment horizontal="distributed" vertical="center" shrinkToFit="1"/>
    </xf>
    <xf numFmtId="0" fontId="2" fillId="2" borderId="27" xfId="0" applyFont="1" applyFill="1" applyBorder="1" applyAlignment="1">
      <alignment horizontal="distributed" vertical="center" shrinkToFit="1"/>
    </xf>
    <xf numFmtId="0" fontId="2" fillId="2" borderId="59" xfId="0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2" fillId="4" borderId="106" xfId="0" applyFont="1" applyFill="1" applyBorder="1" applyAlignment="1">
      <alignment horizontal="distributed" vertical="center" shrinkToFit="1"/>
    </xf>
    <xf numFmtId="0" fontId="2" fillId="4" borderId="42" xfId="0" applyFont="1" applyFill="1" applyBorder="1" applyAlignment="1">
      <alignment horizontal="distributed" vertical="center" shrinkToFit="1"/>
    </xf>
    <xf numFmtId="0" fontId="2" fillId="4" borderId="76" xfId="0" applyFont="1" applyFill="1" applyBorder="1" applyAlignment="1">
      <alignment horizontal="distributed" vertical="center" shrinkToFit="1"/>
    </xf>
    <xf numFmtId="0" fontId="2" fillId="7" borderId="68" xfId="0" applyFont="1" applyFill="1" applyBorder="1" applyAlignment="1">
      <alignment horizontal="distributed" vertical="center" shrinkToFit="1"/>
    </xf>
    <xf numFmtId="0" fontId="2" fillId="7" borderId="58" xfId="0" applyFont="1" applyFill="1" applyBorder="1" applyAlignment="1">
      <alignment horizontal="distributed" vertical="center" shrinkToFit="1"/>
    </xf>
    <xf numFmtId="0" fontId="2" fillId="7" borderId="27" xfId="0" applyFont="1" applyFill="1" applyBorder="1" applyAlignment="1">
      <alignment horizontal="distributed" vertical="center" shrinkToFit="1"/>
    </xf>
    <xf numFmtId="0" fontId="2" fillId="5" borderId="72" xfId="0" applyFont="1" applyFill="1" applyBorder="1" applyAlignment="1">
      <alignment horizontal="distributed" shrinkToFit="1"/>
    </xf>
    <xf numFmtId="0" fontId="2" fillId="5" borderId="44" xfId="0" applyFont="1" applyFill="1" applyBorder="1" applyAlignment="1">
      <alignment horizontal="distributed" shrinkToFit="1"/>
    </xf>
    <xf numFmtId="0" fontId="2" fillId="5" borderId="29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49" xfId="0" applyFont="1" applyFill="1" applyBorder="1" applyAlignment="1">
      <alignment horizontal="center" vertical="center" shrinkToFit="1"/>
    </xf>
    <xf numFmtId="0" fontId="2" fillId="2" borderId="50" xfId="0" applyFont="1" applyFill="1" applyBorder="1" applyAlignment="1">
      <alignment horizontal="center" vertical="center" shrinkToFit="1"/>
    </xf>
    <xf numFmtId="0" fontId="2" fillId="2" borderId="38" xfId="0" applyFont="1" applyFill="1" applyBorder="1" applyAlignment="1">
      <alignment vertical="center" shrinkToFit="1"/>
    </xf>
    <xf numFmtId="0" fontId="2" fillId="2" borderId="107" xfId="0" applyFont="1" applyFill="1" applyBorder="1" applyAlignment="1">
      <alignment vertical="center" shrinkToFit="1"/>
    </xf>
    <xf numFmtId="0" fontId="2" fillId="2" borderId="78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M174"/>
  <sheetViews>
    <sheetView tabSelected="1" view="pageBreakPreview" topLeftCell="A4" zoomScale="55" zoomScaleNormal="55" zoomScaleSheetLayoutView="55" workbookViewId="0">
      <selection activeCell="A80" sqref="A80"/>
    </sheetView>
  </sheetViews>
  <sheetFormatPr defaultColWidth="4.6640625" defaultRowHeight="28.2" outlineLevelRow="1" outlineLevelCol="1" x14ac:dyDescent="0.2"/>
  <cols>
    <col min="1" max="1" width="4.44140625" style="80" customWidth="1"/>
    <col min="2" max="2" width="3.88671875" style="3" customWidth="1"/>
    <col min="3" max="3" width="3.44140625" style="3" customWidth="1"/>
    <col min="4" max="4" width="4.88671875" style="3" customWidth="1"/>
    <col min="5" max="5" width="3.88671875" style="3" customWidth="1"/>
    <col min="6" max="9" width="6" style="3" customWidth="1"/>
    <col min="10" max="10" width="13.77734375" style="91" customWidth="1" outlineLevel="1"/>
    <col min="11" max="11" width="10.88671875" style="91" customWidth="1" outlineLevel="1"/>
    <col min="12" max="12" width="13.77734375" style="91" customWidth="1" outlineLevel="1"/>
    <col min="13" max="13" width="10.88671875" style="91" customWidth="1" outlineLevel="1"/>
    <col min="14" max="14" width="10.6640625" style="91" customWidth="1" outlineLevel="1"/>
    <col min="15" max="15" width="0.33203125" style="40" customWidth="1" outlineLevel="1"/>
    <col min="16" max="16" width="2.21875" style="40" customWidth="1"/>
    <col min="17" max="17" width="13.109375" style="181" customWidth="1" outlineLevel="1"/>
    <col min="18" max="18" width="8.6640625" style="181" customWidth="1" outlineLevel="1"/>
    <col min="19" max="19" width="13.109375" style="181" customWidth="1" outlineLevel="1"/>
    <col min="20" max="20" width="8.6640625" style="181" customWidth="1" outlineLevel="1"/>
    <col min="21" max="21" width="10.6640625" style="181" customWidth="1" outlineLevel="1"/>
    <col min="22" max="22" width="0.109375" style="91" customWidth="1" outlineLevel="1"/>
    <col min="23" max="23" width="13.109375" style="181" customWidth="1" outlineLevel="1"/>
    <col min="24" max="24" width="8.6640625" style="181" customWidth="1" outlineLevel="1"/>
    <col min="25" max="25" width="13.109375" style="181" customWidth="1" outlineLevel="1"/>
    <col min="26" max="26" width="8.6640625" style="181" customWidth="1" outlineLevel="1"/>
    <col min="27" max="27" width="10.6640625" style="181" customWidth="1" outlineLevel="1"/>
    <col min="28" max="28" width="0.109375" style="91" customWidth="1" outlineLevel="1"/>
    <col min="29" max="29" width="13.109375" style="181" customWidth="1" outlineLevel="1"/>
    <col min="30" max="30" width="8.6640625" style="181" customWidth="1" outlineLevel="1"/>
    <col min="31" max="31" width="13.109375" style="181" customWidth="1" outlineLevel="1"/>
    <col min="32" max="32" width="8.6640625" style="181" customWidth="1" outlineLevel="1"/>
    <col min="33" max="33" width="10.6640625" style="181" customWidth="1" outlineLevel="1"/>
    <col min="34" max="34" width="0.109375" style="91" customWidth="1" outlineLevel="1"/>
    <col min="35" max="35" width="13.109375" style="181" customWidth="1" outlineLevel="1"/>
    <col min="36" max="36" width="8.6640625" style="181" customWidth="1" outlineLevel="1"/>
    <col min="37" max="37" width="13.109375" style="181" customWidth="1" outlineLevel="1"/>
    <col min="38" max="38" width="8.6640625" style="181" customWidth="1" outlineLevel="1"/>
    <col min="39" max="39" width="10.6640625" style="181" customWidth="1" outlineLevel="1"/>
    <col min="40" max="40" width="0.109375" style="91" customWidth="1" outlineLevel="1"/>
    <col min="41" max="41" width="3" style="91" customWidth="1"/>
    <col min="42" max="42" width="13.109375" style="181" customWidth="1" outlineLevel="1"/>
    <col min="43" max="43" width="8.6640625" style="181" customWidth="1" outlineLevel="1"/>
    <col min="44" max="44" width="13.109375" style="181" customWidth="1" outlineLevel="1"/>
    <col min="45" max="45" width="8.6640625" style="181" customWidth="1" outlineLevel="1"/>
    <col min="46" max="46" width="10.6640625" style="181" customWidth="1" outlineLevel="1"/>
    <col min="47" max="47" width="0.109375" style="91" customWidth="1" outlineLevel="1"/>
    <col min="48" max="48" width="13.109375" style="181" customWidth="1" outlineLevel="1"/>
    <col min="49" max="49" width="8.6640625" style="181" customWidth="1" outlineLevel="1"/>
    <col min="50" max="50" width="13.109375" style="181" customWidth="1" outlineLevel="1"/>
    <col min="51" max="51" width="8.6640625" style="181" customWidth="1" outlineLevel="1"/>
    <col min="52" max="52" width="10.6640625" style="181" customWidth="1" outlineLevel="1"/>
    <col min="53" max="53" width="0.109375" style="91" customWidth="1" outlineLevel="1"/>
    <col min="54" max="54" width="13.109375" style="181" customWidth="1" outlineLevel="1"/>
    <col min="55" max="55" width="8.6640625" style="181" customWidth="1" outlineLevel="1"/>
    <col min="56" max="56" width="13.109375" style="181" customWidth="1" outlineLevel="1"/>
    <col min="57" max="57" width="8.6640625" style="181" customWidth="1" outlineLevel="1"/>
    <col min="58" max="58" width="10.6640625" style="181" customWidth="1" outlineLevel="1"/>
    <col min="59" max="59" width="0.109375" style="91" customWidth="1" outlineLevel="1"/>
    <col min="60" max="60" width="13.109375" style="181" customWidth="1" outlineLevel="1"/>
    <col min="61" max="61" width="8.6640625" style="181" customWidth="1" outlineLevel="1"/>
    <col min="62" max="62" width="13.109375" style="181" customWidth="1" outlineLevel="1"/>
    <col min="63" max="63" width="8.6640625" style="181" customWidth="1" outlineLevel="1"/>
    <col min="64" max="64" width="10.6640625" style="181" customWidth="1" outlineLevel="1"/>
    <col min="65" max="65" width="0.109375" style="181" customWidth="1" outlineLevel="1"/>
    <col min="66" max="66" width="3" style="91" customWidth="1"/>
    <col min="67" max="67" width="13.109375" style="181" customWidth="1" outlineLevel="1"/>
    <col min="68" max="68" width="8.6640625" style="181" customWidth="1" outlineLevel="1"/>
    <col min="69" max="69" width="13.109375" style="181" customWidth="1" outlineLevel="1"/>
    <col min="70" max="70" width="8.6640625" style="181" customWidth="1" outlineLevel="1"/>
    <col min="71" max="71" width="10.6640625" style="181" customWidth="1" outlineLevel="1"/>
    <col min="72" max="72" width="0.109375" style="91" customWidth="1" outlineLevel="1"/>
    <col min="73" max="73" width="13.109375" style="181" customWidth="1" outlineLevel="1"/>
    <col min="74" max="74" width="8.6640625" style="181" customWidth="1" outlineLevel="1"/>
    <col min="75" max="75" width="13.109375" style="181" customWidth="1" outlineLevel="1"/>
    <col min="76" max="76" width="8.6640625" style="181" customWidth="1" outlineLevel="1"/>
    <col min="77" max="77" width="10.6640625" style="181" customWidth="1" outlineLevel="1"/>
    <col min="78" max="78" width="0.109375" style="91" customWidth="1" outlineLevel="1"/>
    <col min="79" max="79" width="13.109375" style="181" customWidth="1" outlineLevel="1"/>
    <col min="80" max="80" width="8.6640625" style="181" customWidth="1" outlineLevel="1"/>
    <col min="81" max="81" width="13.109375" style="181" customWidth="1" outlineLevel="1"/>
    <col min="82" max="82" width="8.6640625" style="181" customWidth="1" outlineLevel="1"/>
    <col min="83" max="83" width="10.6640625" style="181" customWidth="1" outlineLevel="1"/>
    <col min="84" max="84" width="0.109375" style="91" customWidth="1" outlineLevel="1"/>
    <col min="85" max="85" width="13.109375" style="181" customWidth="1" outlineLevel="1"/>
    <col min="86" max="86" width="8.6640625" style="181" customWidth="1" outlineLevel="1"/>
    <col min="87" max="87" width="13.109375" style="181" customWidth="1" outlineLevel="1"/>
    <col min="88" max="88" width="8.6640625" style="181" customWidth="1" outlineLevel="1"/>
    <col min="89" max="89" width="10.6640625" style="181" customWidth="1" outlineLevel="1"/>
    <col min="90" max="90" width="0.109375" style="181" customWidth="1" outlineLevel="1"/>
    <col min="91" max="91" width="2.21875" style="79" customWidth="1"/>
    <col min="92" max="92" width="13.109375" style="181" customWidth="1" outlineLevel="1"/>
    <col min="93" max="93" width="8.6640625" style="181" customWidth="1" outlineLevel="1"/>
    <col min="94" max="94" width="13.109375" style="181" customWidth="1" outlineLevel="1"/>
    <col min="95" max="95" width="8.6640625" style="181" customWidth="1" outlineLevel="1"/>
    <col min="96" max="96" width="10.6640625" style="181" customWidth="1" outlineLevel="1"/>
    <col min="97" max="97" width="0.109375" style="91" customWidth="1" outlineLevel="1"/>
    <col min="98" max="98" width="13.109375" style="181" customWidth="1" outlineLevel="1"/>
    <col min="99" max="99" width="8.6640625" style="181" customWidth="1" outlineLevel="1"/>
    <col min="100" max="100" width="13.109375" style="181" customWidth="1" outlineLevel="1"/>
    <col min="101" max="101" width="8.6640625" style="181" customWidth="1" outlineLevel="1"/>
    <col min="102" max="102" width="10.6640625" style="181" customWidth="1" outlineLevel="1"/>
    <col min="103" max="103" width="0.109375" style="91" customWidth="1" outlineLevel="1"/>
    <col min="104" max="104" width="13.109375" style="181" customWidth="1" outlineLevel="1"/>
    <col min="105" max="105" width="8.6640625" style="181" customWidth="1" outlineLevel="1"/>
    <col min="106" max="106" width="13.109375" style="181" customWidth="1" outlineLevel="1"/>
    <col min="107" max="107" width="8.6640625" style="181" customWidth="1" outlineLevel="1"/>
    <col min="108" max="108" width="10.6640625" style="181" customWidth="1" outlineLevel="1"/>
    <col min="109" max="109" width="0.109375" style="91" customWidth="1" outlineLevel="1"/>
    <col min="110" max="110" width="13.109375" style="181" customWidth="1" outlineLevel="1"/>
    <col min="111" max="111" width="8.6640625" style="181" customWidth="1" outlineLevel="1"/>
    <col min="112" max="112" width="13.109375" style="181" customWidth="1" outlineLevel="1"/>
    <col min="113" max="113" width="8.6640625" style="181" customWidth="1" outlineLevel="1"/>
    <col min="114" max="114" width="10.6640625" style="181" customWidth="1" outlineLevel="1"/>
    <col min="115" max="115" width="25.6640625" style="6" hidden="1" customWidth="1" outlineLevel="1"/>
    <col min="116" max="116" width="1.6640625" style="1" customWidth="1" collapsed="1"/>
    <col min="117" max="117" width="4.6640625" style="1"/>
  </cols>
  <sheetData>
    <row r="1" spans="1:115" ht="18" customHeight="1" x14ac:dyDescent="0.35">
      <c r="B1" s="749" t="s">
        <v>0</v>
      </c>
      <c r="C1" s="749"/>
      <c r="D1" s="749"/>
      <c r="E1" s="749"/>
      <c r="F1" s="749"/>
      <c r="G1" s="749"/>
      <c r="J1" s="88"/>
      <c r="K1" s="88"/>
      <c r="L1" s="88"/>
      <c r="M1" s="88"/>
      <c r="N1" s="88"/>
      <c r="O1" s="38"/>
      <c r="P1" s="38"/>
      <c r="Q1" s="87"/>
      <c r="R1" s="87"/>
      <c r="S1" s="87"/>
      <c r="T1" s="87"/>
      <c r="U1" s="87"/>
      <c r="V1" s="88"/>
      <c r="W1" s="87"/>
      <c r="X1" s="87"/>
      <c r="Y1" s="87"/>
      <c r="Z1" s="87"/>
      <c r="AA1" s="87"/>
      <c r="AB1" s="88"/>
      <c r="AC1" s="87"/>
      <c r="AD1" s="87"/>
      <c r="AE1" s="87"/>
      <c r="AF1" s="87"/>
      <c r="AG1" s="87"/>
      <c r="AH1" s="88"/>
      <c r="AI1" s="87"/>
      <c r="AJ1" s="87"/>
      <c r="AK1" s="87"/>
      <c r="AL1" s="87"/>
      <c r="AM1" s="87"/>
      <c r="AN1" s="88"/>
      <c r="AO1" s="88"/>
      <c r="AP1" s="87"/>
      <c r="AQ1" s="87"/>
      <c r="AR1" s="87"/>
      <c r="AS1" s="87"/>
      <c r="AT1" s="87"/>
      <c r="AU1" s="88"/>
      <c r="AV1" s="87"/>
      <c r="AW1" s="87"/>
      <c r="AX1" s="87"/>
      <c r="AY1" s="87"/>
      <c r="AZ1" s="87"/>
      <c r="BA1" s="88"/>
      <c r="BB1" s="87"/>
      <c r="BC1" s="87"/>
      <c r="BD1" s="87"/>
      <c r="BE1" s="87"/>
      <c r="BF1" s="87"/>
      <c r="BG1" s="88"/>
      <c r="BH1" s="87"/>
      <c r="BI1" s="87"/>
      <c r="BJ1" s="87"/>
      <c r="BK1" s="87"/>
      <c r="BL1" s="87"/>
      <c r="BM1" s="87"/>
      <c r="BN1" s="88"/>
      <c r="BO1" s="87"/>
      <c r="BP1" s="87"/>
      <c r="BQ1" s="87"/>
      <c r="BR1" s="87"/>
      <c r="BS1" s="87"/>
      <c r="BT1" s="88"/>
      <c r="BU1" s="87"/>
      <c r="BV1" s="87"/>
      <c r="BW1" s="87"/>
      <c r="BX1" s="87"/>
      <c r="BY1" s="87"/>
      <c r="BZ1" s="88"/>
      <c r="CA1" s="87"/>
      <c r="CB1" s="87"/>
      <c r="CC1" s="87"/>
      <c r="CD1" s="87"/>
      <c r="CE1" s="87"/>
      <c r="CF1" s="88"/>
      <c r="CG1" s="87"/>
      <c r="CH1" s="87"/>
      <c r="CI1" s="87"/>
      <c r="CJ1" s="87"/>
      <c r="CK1" s="87"/>
      <c r="CL1" s="87"/>
      <c r="CN1" s="87"/>
      <c r="CO1" s="87"/>
      <c r="CP1" s="87"/>
      <c r="CQ1" s="87"/>
      <c r="CR1" s="87"/>
      <c r="CS1" s="88"/>
      <c r="CT1" s="87"/>
      <c r="CU1" s="87"/>
      <c r="CV1" s="87"/>
      <c r="CW1" s="87"/>
      <c r="CX1" s="87"/>
      <c r="CY1" s="88"/>
      <c r="CZ1" s="87"/>
      <c r="DA1" s="87"/>
      <c r="DB1" s="87"/>
      <c r="DC1" s="87"/>
      <c r="DD1" s="87"/>
      <c r="DE1" s="88"/>
      <c r="DF1" s="87"/>
      <c r="DG1" s="87"/>
      <c r="DH1" s="87"/>
      <c r="DI1" s="87"/>
      <c r="DJ1" s="87"/>
      <c r="DK1" s="2"/>
    </row>
    <row r="2" spans="1:115" ht="18" customHeight="1" x14ac:dyDescent="0.35">
      <c r="B2" s="749"/>
      <c r="C2" s="749"/>
      <c r="D2" s="749"/>
      <c r="E2" s="749"/>
      <c r="F2" s="749"/>
      <c r="G2" s="749"/>
      <c r="J2" s="88"/>
      <c r="K2" s="88"/>
      <c r="L2" s="88"/>
      <c r="M2" s="88"/>
      <c r="N2" s="88"/>
      <c r="O2" s="38"/>
      <c r="P2" s="38"/>
      <c r="Q2" s="87"/>
      <c r="R2" s="87"/>
      <c r="S2" s="87"/>
      <c r="T2" s="87"/>
      <c r="U2" s="87"/>
      <c r="V2" s="88"/>
      <c r="W2" s="87"/>
      <c r="X2" s="87"/>
      <c r="Y2" s="87"/>
      <c r="Z2" s="87"/>
      <c r="AA2" s="87"/>
      <c r="AB2" s="88"/>
      <c r="AC2" s="87"/>
      <c r="AD2" s="87"/>
      <c r="AE2" s="87"/>
      <c r="AF2" s="87"/>
      <c r="AG2" s="87"/>
      <c r="AH2" s="88"/>
      <c r="AI2" s="87"/>
      <c r="AJ2" s="87"/>
      <c r="AK2" s="87"/>
      <c r="AL2" s="87"/>
      <c r="AM2" s="87"/>
      <c r="AN2" s="88"/>
      <c r="AO2" s="88"/>
      <c r="AP2" s="87"/>
      <c r="AQ2" s="87"/>
      <c r="AR2" s="87"/>
      <c r="AS2" s="87"/>
      <c r="AT2" s="87"/>
      <c r="AU2" s="88"/>
      <c r="AV2" s="87"/>
      <c r="AW2" s="87"/>
      <c r="AX2" s="87"/>
      <c r="AY2" s="87"/>
      <c r="AZ2" s="87"/>
      <c r="BA2" s="88"/>
      <c r="BB2" s="87"/>
      <c r="BC2" s="87"/>
      <c r="BD2" s="87"/>
      <c r="BE2" s="87"/>
      <c r="BF2" s="87"/>
      <c r="BG2" s="88"/>
      <c r="BH2" s="87"/>
      <c r="BI2" s="87"/>
      <c r="BJ2" s="87"/>
      <c r="BK2" s="87"/>
      <c r="BL2" s="87"/>
      <c r="BM2" s="87"/>
      <c r="BN2" s="88"/>
      <c r="BO2" s="87"/>
      <c r="BP2" s="87"/>
      <c r="BQ2" s="87"/>
      <c r="BR2" s="87"/>
      <c r="BS2" s="87"/>
      <c r="BT2" s="88"/>
      <c r="BU2" s="87"/>
      <c r="BV2" s="87"/>
      <c r="BW2" s="87"/>
      <c r="BX2" s="87"/>
      <c r="BY2" s="87"/>
      <c r="BZ2" s="88"/>
      <c r="CA2" s="87"/>
      <c r="CB2" s="87"/>
      <c r="CC2" s="87"/>
      <c r="CD2" s="87"/>
      <c r="CE2" s="87"/>
      <c r="CF2" s="88"/>
      <c r="CG2" s="87"/>
      <c r="CH2" s="87"/>
      <c r="CI2" s="87"/>
      <c r="CJ2" s="87"/>
      <c r="CK2" s="87"/>
      <c r="CL2" s="87"/>
      <c r="CN2" s="87"/>
      <c r="CO2" s="87"/>
      <c r="CP2" s="87"/>
      <c r="CQ2" s="87"/>
      <c r="CR2" s="87"/>
      <c r="CS2" s="88"/>
      <c r="CT2" s="87"/>
      <c r="CU2" s="87"/>
      <c r="CV2" s="87"/>
      <c r="CW2" s="87"/>
      <c r="CX2" s="87"/>
      <c r="CY2" s="88"/>
      <c r="CZ2" s="87"/>
      <c r="DA2" s="87"/>
      <c r="DB2" s="87"/>
      <c r="DC2" s="87"/>
      <c r="DD2" s="87"/>
      <c r="DE2" s="88"/>
      <c r="DF2" s="87"/>
      <c r="DG2" s="87"/>
      <c r="DH2" s="87"/>
      <c r="DI2" s="87"/>
      <c r="DJ2" s="87"/>
      <c r="DK2" s="2"/>
    </row>
    <row r="3" spans="1:115" s="3" customFormat="1" ht="13.5" customHeight="1" x14ac:dyDescent="0.25">
      <c r="A3" s="80"/>
      <c r="B3" s="737" t="s">
        <v>1</v>
      </c>
      <c r="C3" s="737"/>
      <c r="D3" s="741"/>
      <c r="E3" s="741"/>
      <c r="F3" s="741"/>
      <c r="G3" s="741"/>
      <c r="H3" s="81"/>
      <c r="I3" s="81"/>
      <c r="J3" s="747"/>
      <c r="K3" s="747"/>
      <c r="L3" s="747"/>
      <c r="M3" s="747"/>
      <c r="N3" s="747"/>
      <c r="O3" s="748"/>
      <c r="P3" s="39"/>
      <c r="Q3" s="743"/>
      <c r="R3" s="743"/>
      <c r="S3" s="743"/>
      <c r="T3" s="743"/>
      <c r="U3" s="743"/>
      <c r="V3" s="744"/>
      <c r="W3" s="743"/>
      <c r="X3" s="743"/>
      <c r="Y3" s="743"/>
      <c r="Z3" s="743"/>
      <c r="AA3" s="743"/>
      <c r="AB3" s="744"/>
      <c r="AC3" s="743"/>
      <c r="AD3" s="743"/>
      <c r="AE3" s="743"/>
      <c r="AF3" s="743"/>
      <c r="AG3" s="743"/>
      <c r="AH3" s="744"/>
      <c r="AI3" s="743"/>
      <c r="AJ3" s="743"/>
      <c r="AK3" s="743"/>
      <c r="AL3" s="743"/>
      <c r="AM3" s="743"/>
      <c r="AN3" s="744"/>
      <c r="AO3" s="89"/>
      <c r="AP3" s="743"/>
      <c r="AQ3" s="743"/>
      <c r="AR3" s="743"/>
      <c r="AS3" s="743"/>
      <c r="AT3" s="743"/>
      <c r="AU3" s="744"/>
      <c r="AV3" s="743"/>
      <c r="AW3" s="743"/>
      <c r="AX3" s="743"/>
      <c r="AY3" s="743"/>
      <c r="AZ3" s="743"/>
      <c r="BA3" s="744"/>
      <c r="BB3" s="743"/>
      <c r="BC3" s="743"/>
      <c r="BD3" s="743"/>
      <c r="BE3" s="743"/>
      <c r="BF3" s="743"/>
      <c r="BG3" s="744"/>
      <c r="BH3" s="743"/>
      <c r="BI3" s="743"/>
      <c r="BJ3" s="743"/>
      <c r="BK3" s="743"/>
      <c r="BL3" s="743"/>
      <c r="BM3" s="744"/>
      <c r="BN3" s="89"/>
      <c r="BO3" s="743"/>
      <c r="BP3" s="743"/>
      <c r="BQ3" s="743"/>
      <c r="BR3" s="743"/>
      <c r="BS3" s="743"/>
      <c r="BT3" s="744"/>
      <c r="BU3" s="743"/>
      <c r="BV3" s="743"/>
      <c r="BW3" s="743"/>
      <c r="BX3" s="743"/>
      <c r="BY3" s="743"/>
      <c r="BZ3" s="744"/>
      <c r="CA3" s="743"/>
      <c r="CB3" s="743"/>
      <c r="CC3" s="743"/>
      <c r="CD3" s="743"/>
      <c r="CE3" s="743"/>
      <c r="CF3" s="744"/>
      <c r="CG3" s="743"/>
      <c r="CH3" s="743"/>
      <c r="CI3" s="743"/>
      <c r="CJ3" s="743"/>
      <c r="CK3" s="743"/>
      <c r="CL3" s="744"/>
      <c r="CM3" s="90"/>
      <c r="CN3" s="743"/>
      <c r="CO3" s="743"/>
      <c r="CP3" s="743"/>
      <c r="CQ3" s="743"/>
      <c r="CR3" s="743"/>
      <c r="CS3" s="744"/>
      <c r="CT3" s="743"/>
      <c r="CU3" s="743"/>
      <c r="CV3" s="743"/>
      <c r="CW3" s="743"/>
      <c r="CX3" s="743"/>
      <c r="CY3" s="744"/>
      <c r="CZ3" s="743"/>
      <c r="DA3" s="743"/>
      <c r="DB3" s="743"/>
      <c r="DC3" s="743"/>
      <c r="DD3" s="743"/>
      <c r="DE3" s="744"/>
      <c r="DF3" s="733"/>
      <c r="DG3" s="733"/>
      <c r="DH3" s="733"/>
      <c r="DI3" s="733"/>
      <c r="DJ3" s="733"/>
      <c r="DK3" s="734"/>
    </row>
    <row r="4" spans="1:115" s="3" customFormat="1" ht="13.5" customHeight="1" x14ac:dyDescent="0.25">
      <c r="A4" s="80"/>
      <c r="B4" s="737"/>
      <c r="C4" s="737"/>
      <c r="D4" s="741"/>
      <c r="E4" s="741"/>
      <c r="F4" s="741"/>
      <c r="G4" s="741"/>
      <c r="H4" s="82"/>
      <c r="I4" s="82"/>
      <c r="J4" s="747"/>
      <c r="K4" s="747"/>
      <c r="L4" s="747"/>
      <c r="M4" s="747"/>
      <c r="N4" s="747"/>
      <c r="O4" s="748"/>
      <c r="P4" s="39"/>
      <c r="Q4" s="743"/>
      <c r="R4" s="743"/>
      <c r="S4" s="743"/>
      <c r="T4" s="743"/>
      <c r="U4" s="743"/>
      <c r="V4" s="744"/>
      <c r="W4" s="743"/>
      <c r="X4" s="743"/>
      <c r="Y4" s="743"/>
      <c r="Z4" s="743"/>
      <c r="AA4" s="743"/>
      <c r="AB4" s="744"/>
      <c r="AC4" s="743"/>
      <c r="AD4" s="743"/>
      <c r="AE4" s="743"/>
      <c r="AF4" s="743"/>
      <c r="AG4" s="743"/>
      <c r="AH4" s="744"/>
      <c r="AI4" s="743"/>
      <c r="AJ4" s="743"/>
      <c r="AK4" s="743"/>
      <c r="AL4" s="743"/>
      <c r="AM4" s="743"/>
      <c r="AN4" s="744"/>
      <c r="AO4" s="89"/>
      <c r="AP4" s="743"/>
      <c r="AQ4" s="743"/>
      <c r="AR4" s="743"/>
      <c r="AS4" s="743"/>
      <c r="AT4" s="743"/>
      <c r="AU4" s="744"/>
      <c r="AV4" s="743"/>
      <c r="AW4" s="743"/>
      <c r="AX4" s="743"/>
      <c r="AY4" s="743"/>
      <c r="AZ4" s="743"/>
      <c r="BA4" s="744"/>
      <c r="BB4" s="743"/>
      <c r="BC4" s="743"/>
      <c r="BD4" s="743"/>
      <c r="BE4" s="743"/>
      <c r="BF4" s="743"/>
      <c r="BG4" s="744"/>
      <c r="BH4" s="743"/>
      <c r="BI4" s="743"/>
      <c r="BJ4" s="743"/>
      <c r="BK4" s="743"/>
      <c r="BL4" s="743"/>
      <c r="BM4" s="744"/>
      <c r="BN4" s="89"/>
      <c r="BO4" s="743"/>
      <c r="BP4" s="743"/>
      <c r="BQ4" s="743"/>
      <c r="BR4" s="743"/>
      <c r="BS4" s="743"/>
      <c r="BT4" s="744"/>
      <c r="BU4" s="743"/>
      <c r="BV4" s="743"/>
      <c r="BW4" s="743"/>
      <c r="BX4" s="743"/>
      <c r="BY4" s="743"/>
      <c r="BZ4" s="744"/>
      <c r="CA4" s="743"/>
      <c r="CB4" s="743"/>
      <c r="CC4" s="743"/>
      <c r="CD4" s="743"/>
      <c r="CE4" s="743"/>
      <c r="CF4" s="744"/>
      <c r="CG4" s="743"/>
      <c r="CH4" s="743"/>
      <c r="CI4" s="743"/>
      <c r="CJ4" s="743"/>
      <c r="CK4" s="743"/>
      <c r="CL4" s="744"/>
      <c r="CM4" s="90"/>
      <c r="CN4" s="743"/>
      <c r="CO4" s="743"/>
      <c r="CP4" s="743"/>
      <c r="CQ4" s="743"/>
      <c r="CR4" s="743"/>
      <c r="CS4" s="744"/>
      <c r="CT4" s="743"/>
      <c r="CU4" s="743"/>
      <c r="CV4" s="743"/>
      <c r="CW4" s="743"/>
      <c r="CX4" s="743"/>
      <c r="CY4" s="744"/>
      <c r="CZ4" s="743"/>
      <c r="DA4" s="743"/>
      <c r="DB4" s="743"/>
      <c r="DC4" s="743"/>
      <c r="DD4" s="743"/>
      <c r="DE4" s="744"/>
      <c r="DF4" s="733"/>
      <c r="DG4" s="733"/>
      <c r="DH4" s="733"/>
      <c r="DI4" s="733"/>
      <c r="DJ4" s="733"/>
      <c r="DK4" s="734"/>
    </row>
    <row r="5" spans="1:115" s="3" customFormat="1" ht="13.5" customHeight="1" x14ac:dyDescent="0.25">
      <c r="A5" s="80"/>
      <c r="B5" s="737" t="s">
        <v>2</v>
      </c>
      <c r="C5" s="737"/>
      <c r="D5" s="739"/>
      <c r="E5" s="741"/>
      <c r="F5" s="741"/>
      <c r="G5" s="741"/>
      <c r="H5" s="741"/>
      <c r="I5" s="741"/>
      <c r="J5" s="747"/>
      <c r="K5" s="747"/>
      <c r="L5" s="747"/>
      <c r="M5" s="747"/>
      <c r="N5" s="747"/>
      <c r="O5" s="748"/>
      <c r="P5" s="39"/>
      <c r="Q5" s="743"/>
      <c r="R5" s="743"/>
      <c r="S5" s="743"/>
      <c r="T5" s="743"/>
      <c r="U5" s="743"/>
      <c r="V5" s="744"/>
      <c r="W5" s="743"/>
      <c r="X5" s="743"/>
      <c r="Y5" s="743"/>
      <c r="Z5" s="743"/>
      <c r="AA5" s="743"/>
      <c r="AB5" s="744"/>
      <c r="AC5" s="743"/>
      <c r="AD5" s="743"/>
      <c r="AE5" s="743"/>
      <c r="AF5" s="743"/>
      <c r="AG5" s="743"/>
      <c r="AH5" s="744"/>
      <c r="AI5" s="743"/>
      <c r="AJ5" s="743"/>
      <c r="AK5" s="743"/>
      <c r="AL5" s="743"/>
      <c r="AM5" s="743"/>
      <c r="AN5" s="744"/>
      <c r="AO5" s="89"/>
      <c r="AP5" s="743"/>
      <c r="AQ5" s="743"/>
      <c r="AR5" s="743"/>
      <c r="AS5" s="743"/>
      <c r="AT5" s="743"/>
      <c r="AU5" s="744"/>
      <c r="AV5" s="743"/>
      <c r="AW5" s="743"/>
      <c r="AX5" s="743"/>
      <c r="AY5" s="743"/>
      <c r="AZ5" s="743"/>
      <c r="BA5" s="744"/>
      <c r="BB5" s="743"/>
      <c r="BC5" s="743"/>
      <c r="BD5" s="743"/>
      <c r="BE5" s="743"/>
      <c r="BF5" s="743"/>
      <c r="BG5" s="744"/>
      <c r="BH5" s="743"/>
      <c r="BI5" s="743"/>
      <c r="BJ5" s="743"/>
      <c r="BK5" s="743"/>
      <c r="BL5" s="743"/>
      <c r="BM5" s="744"/>
      <c r="BN5" s="89"/>
      <c r="BO5" s="743"/>
      <c r="BP5" s="743"/>
      <c r="BQ5" s="743"/>
      <c r="BR5" s="743"/>
      <c r="BS5" s="743"/>
      <c r="BT5" s="744"/>
      <c r="BU5" s="743"/>
      <c r="BV5" s="743"/>
      <c r="BW5" s="743"/>
      <c r="BX5" s="743"/>
      <c r="BY5" s="743"/>
      <c r="BZ5" s="744"/>
      <c r="CA5" s="743"/>
      <c r="CB5" s="743"/>
      <c r="CC5" s="743"/>
      <c r="CD5" s="743"/>
      <c r="CE5" s="743"/>
      <c r="CF5" s="744"/>
      <c r="CG5" s="743"/>
      <c r="CH5" s="743"/>
      <c r="CI5" s="743"/>
      <c r="CJ5" s="743"/>
      <c r="CK5" s="743"/>
      <c r="CL5" s="744"/>
      <c r="CM5" s="90"/>
      <c r="CN5" s="743"/>
      <c r="CO5" s="743"/>
      <c r="CP5" s="743"/>
      <c r="CQ5" s="743"/>
      <c r="CR5" s="743"/>
      <c r="CS5" s="744"/>
      <c r="CT5" s="743"/>
      <c r="CU5" s="743"/>
      <c r="CV5" s="743"/>
      <c r="CW5" s="743"/>
      <c r="CX5" s="743"/>
      <c r="CY5" s="744"/>
      <c r="CZ5" s="743"/>
      <c r="DA5" s="743"/>
      <c r="DB5" s="743"/>
      <c r="DC5" s="743"/>
      <c r="DD5" s="743"/>
      <c r="DE5" s="744"/>
      <c r="DF5" s="733"/>
      <c r="DG5" s="733"/>
      <c r="DH5" s="733"/>
      <c r="DI5" s="733"/>
      <c r="DJ5" s="733"/>
      <c r="DK5" s="734"/>
    </row>
    <row r="6" spans="1:115" s="3" customFormat="1" ht="13.5" customHeight="1" x14ac:dyDescent="0.25">
      <c r="A6" s="80"/>
      <c r="B6" s="738"/>
      <c r="C6" s="738"/>
      <c r="D6" s="740"/>
      <c r="E6" s="742"/>
      <c r="F6" s="742"/>
      <c r="G6" s="742"/>
      <c r="H6" s="742"/>
      <c r="I6" s="742"/>
      <c r="J6" s="747"/>
      <c r="K6" s="747"/>
      <c r="L6" s="747"/>
      <c r="M6" s="747"/>
      <c r="N6" s="747"/>
      <c r="O6" s="748"/>
      <c r="P6" s="39"/>
      <c r="Q6" s="745"/>
      <c r="R6" s="745"/>
      <c r="S6" s="745"/>
      <c r="T6" s="745"/>
      <c r="U6" s="745"/>
      <c r="V6" s="746"/>
      <c r="W6" s="745"/>
      <c r="X6" s="745"/>
      <c r="Y6" s="745"/>
      <c r="Z6" s="745"/>
      <c r="AA6" s="745"/>
      <c r="AB6" s="746"/>
      <c r="AC6" s="745"/>
      <c r="AD6" s="745"/>
      <c r="AE6" s="745"/>
      <c r="AF6" s="745"/>
      <c r="AG6" s="745"/>
      <c r="AH6" s="746"/>
      <c r="AI6" s="745"/>
      <c r="AJ6" s="745"/>
      <c r="AK6" s="745"/>
      <c r="AL6" s="745"/>
      <c r="AM6" s="745"/>
      <c r="AN6" s="746"/>
      <c r="AO6" s="89"/>
      <c r="AP6" s="745"/>
      <c r="AQ6" s="745"/>
      <c r="AR6" s="745"/>
      <c r="AS6" s="745"/>
      <c r="AT6" s="745"/>
      <c r="AU6" s="746"/>
      <c r="AV6" s="745"/>
      <c r="AW6" s="745"/>
      <c r="AX6" s="745"/>
      <c r="AY6" s="745"/>
      <c r="AZ6" s="745"/>
      <c r="BA6" s="746"/>
      <c r="BB6" s="745"/>
      <c r="BC6" s="745"/>
      <c r="BD6" s="745"/>
      <c r="BE6" s="745"/>
      <c r="BF6" s="745"/>
      <c r="BG6" s="746"/>
      <c r="BH6" s="745"/>
      <c r="BI6" s="745"/>
      <c r="BJ6" s="745"/>
      <c r="BK6" s="745"/>
      <c r="BL6" s="745"/>
      <c r="BM6" s="746"/>
      <c r="BN6" s="89"/>
      <c r="BO6" s="745"/>
      <c r="BP6" s="745"/>
      <c r="BQ6" s="745"/>
      <c r="BR6" s="745"/>
      <c r="BS6" s="745"/>
      <c r="BT6" s="746"/>
      <c r="BU6" s="745"/>
      <c r="BV6" s="745"/>
      <c r="BW6" s="745"/>
      <c r="BX6" s="745"/>
      <c r="BY6" s="745"/>
      <c r="BZ6" s="746"/>
      <c r="CA6" s="745"/>
      <c r="CB6" s="745"/>
      <c r="CC6" s="745"/>
      <c r="CD6" s="745"/>
      <c r="CE6" s="745"/>
      <c r="CF6" s="746"/>
      <c r="CG6" s="745"/>
      <c r="CH6" s="745"/>
      <c r="CI6" s="745"/>
      <c r="CJ6" s="745"/>
      <c r="CK6" s="745"/>
      <c r="CL6" s="746"/>
      <c r="CM6" s="90"/>
      <c r="CN6" s="745"/>
      <c r="CO6" s="745"/>
      <c r="CP6" s="745"/>
      <c r="CQ6" s="745"/>
      <c r="CR6" s="745"/>
      <c r="CS6" s="746"/>
      <c r="CT6" s="745"/>
      <c r="CU6" s="745"/>
      <c r="CV6" s="745"/>
      <c r="CW6" s="745"/>
      <c r="CX6" s="745"/>
      <c r="CY6" s="746"/>
      <c r="CZ6" s="745"/>
      <c r="DA6" s="745"/>
      <c r="DB6" s="745"/>
      <c r="DC6" s="745"/>
      <c r="DD6" s="745"/>
      <c r="DE6" s="746"/>
      <c r="DF6" s="735"/>
      <c r="DG6" s="735"/>
      <c r="DH6" s="735"/>
      <c r="DI6" s="735"/>
      <c r="DJ6" s="735"/>
      <c r="DK6" s="736"/>
    </row>
    <row r="7" spans="1:115" s="4" customFormat="1" ht="14.25" customHeight="1" x14ac:dyDescent="0.2">
      <c r="A7" s="80"/>
      <c r="B7" s="714" t="s">
        <v>3</v>
      </c>
      <c r="C7" s="715"/>
      <c r="D7" s="715"/>
      <c r="E7" s="715"/>
      <c r="F7" s="715"/>
      <c r="G7" s="715"/>
      <c r="H7" s="715"/>
      <c r="I7" s="716"/>
      <c r="J7" s="723" t="s">
        <v>4</v>
      </c>
      <c r="K7" s="724"/>
      <c r="L7" s="724"/>
      <c r="M7" s="724"/>
      <c r="N7" s="724"/>
      <c r="O7" s="725"/>
      <c r="P7" s="39"/>
      <c r="Q7" s="710" t="s">
        <v>5</v>
      </c>
      <c r="R7" s="710"/>
      <c r="S7" s="710"/>
      <c r="T7" s="710"/>
      <c r="U7" s="710"/>
      <c r="V7" s="711"/>
      <c r="W7" s="710" t="s">
        <v>6</v>
      </c>
      <c r="X7" s="710"/>
      <c r="Y7" s="710"/>
      <c r="Z7" s="710"/>
      <c r="AA7" s="710"/>
      <c r="AB7" s="711"/>
      <c r="AC7" s="710" t="s">
        <v>7</v>
      </c>
      <c r="AD7" s="710"/>
      <c r="AE7" s="710"/>
      <c r="AF7" s="710"/>
      <c r="AG7" s="710"/>
      <c r="AH7" s="711"/>
      <c r="AI7" s="710" t="s">
        <v>8</v>
      </c>
      <c r="AJ7" s="710"/>
      <c r="AK7" s="710"/>
      <c r="AL7" s="710"/>
      <c r="AM7" s="710"/>
      <c r="AN7" s="710"/>
      <c r="AO7" s="79"/>
      <c r="AP7" s="710" t="s">
        <v>9</v>
      </c>
      <c r="AQ7" s="710"/>
      <c r="AR7" s="710"/>
      <c r="AS7" s="710"/>
      <c r="AT7" s="710"/>
      <c r="AU7" s="711"/>
      <c r="AV7" s="710" t="s">
        <v>10</v>
      </c>
      <c r="AW7" s="710"/>
      <c r="AX7" s="710"/>
      <c r="AY7" s="710"/>
      <c r="AZ7" s="710"/>
      <c r="BA7" s="711"/>
      <c r="BB7" s="710" t="s">
        <v>11</v>
      </c>
      <c r="BC7" s="710"/>
      <c r="BD7" s="710"/>
      <c r="BE7" s="710"/>
      <c r="BF7" s="710"/>
      <c r="BG7" s="711"/>
      <c r="BH7" s="710" t="s">
        <v>12</v>
      </c>
      <c r="BI7" s="710"/>
      <c r="BJ7" s="710"/>
      <c r="BK7" s="710"/>
      <c r="BL7" s="710"/>
      <c r="BM7" s="710"/>
      <c r="BN7" s="79"/>
      <c r="BO7" s="710" t="s">
        <v>13</v>
      </c>
      <c r="BP7" s="710"/>
      <c r="BQ7" s="710"/>
      <c r="BR7" s="710"/>
      <c r="BS7" s="710"/>
      <c r="BT7" s="711"/>
      <c r="BU7" s="710" t="s">
        <v>14</v>
      </c>
      <c r="BV7" s="710"/>
      <c r="BW7" s="710"/>
      <c r="BX7" s="710"/>
      <c r="BY7" s="710"/>
      <c r="BZ7" s="711"/>
      <c r="CA7" s="710" t="s">
        <v>15</v>
      </c>
      <c r="CB7" s="710"/>
      <c r="CC7" s="710"/>
      <c r="CD7" s="710"/>
      <c r="CE7" s="710"/>
      <c r="CF7" s="711"/>
      <c r="CG7" s="710" t="s">
        <v>16</v>
      </c>
      <c r="CH7" s="710"/>
      <c r="CI7" s="710"/>
      <c r="CJ7" s="710"/>
      <c r="CK7" s="710"/>
      <c r="CL7" s="710"/>
      <c r="CM7" s="79"/>
      <c r="CN7" s="710" t="s">
        <v>17</v>
      </c>
      <c r="CO7" s="710"/>
      <c r="CP7" s="710"/>
      <c r="CQ7" s="710"/>
      <c r="CR7" s="710"/>
      <c r="CS7" s="711"/>
      <c r="CT7" s="710" t="s">
        <v>18</v>
      </c>
      <c r="CU7" s="710"/>
      <c r="CV7" s="710"/>
      <c r="CW7" s="710"/>
      <c r="CX7" s="710"/>
      <c r="CY7" s="711"/>
      <c r="CZ7" s="710" t="s">
        <v>19</v>
      </c>
      <c r="DA7" s="710"/>
      <c r="DB7" s="710"/>
      <c r="DC7" s="710"/>
      <c r="DD7" s="710"/>
      <c r="DE7" s="711"/>
      <c r="DF7" s="696" t="s">
        <v>20</v>
      </c>
      <c r="DG7" s="696"/>
      <c r="DH7" s="696"/>
      <c r="DI7" s="696"/>
      <c r="DJ7" s="696"/>
      <c r="DK7" s="696"/>
    </row>
    <row r="8" spans="1:115" s="4" customFormat="1" ht="14.25" customHeight="1" thickBot="1" x14ac:dyDescent="0.25">
      <c r="A8" s="80" t="s">
        <v>21</v>
      </c>
      <c r="B8" s="717"/>
      <c r="C8" s="718"/>
      <c r="D8" s="718"/>
      <c r="E8" s="718"/>
      <c r="F8" s="718"/>
      <c r="G8" s="718"/>
      <c r="H8" s="718"/>
      <c r="I8" s="719"/>
      <c r="J8" s="726"/>
      <c r="K8" s="727"/>
      <c r="L8" s="727"/>
      <c r="M8" s="727"/>
      <c r="N8" s="727"/>
      <c r="O8" s="728"/>
      <c r="P8" s="39"/>
      <c r="Q8" s="712"/>
      <c r="R8" s="712"/>
      <c r="S8" s="712"/>
      <c r="T8" s="712"/>
      <c r="U8" s="712"/>
      <c r="V8" s="713"/>
      <c r="W8" s="712"/>
      <c r="X8" s="712"/>
      <c r="Y8" s="712"/>
      <c r="Z8" s="712"/>
      <c r="AA8" s="712"/>
      <c r="AB8" s="713"/>
      <c r="AC8" s="712"/>
      <c r="AD8" s="712"/>
      <c r="AE8" s="712"/>
      <c r="AF8" s="712"/>
      <c r="AG8" s="712"/>
      <c r="AH8" s="713"/>
      <c r="AI8" s="712"/>
      <c r="AJ8" s="712"/>
      <c r="AK8" s="712"/>
      <c r="AL8" s="712"/>
      <c r="AM8" s="712"/>
      <c r="AN8" s="712"/>
      <c r="AO8" s="91"/>
      <c r="AP8" s="712"/>
      <c r="AQ8" s="712"/>
      <c r="AR8" s="712"/>
      <c r="AS8" s="712"/>
      <c r="AT8" s="712"/>
      <c r="AU8" s="713"/>
      <c r="AV8" s="712"/>
      <c r="AW8" s="712"/>
      <c r="AX8" s="712"/>
      <c r="AY8" s="712"/>
      <c r="AZ8" s="712"/>
      <c r="BA8" s="713"/>
      <c r="BB8" s="712"/>
      <c r="BC8" s="712"/>
      <c r="BD8" s="712"/>
      <c r="BE8" s="712"/>
      <c r="BF8" s="712"/>
      <c r="BG8" s="713"/>
      <c r="BH8" s="712"/>
      <c r="BI8" s="712"/>
      <c r="BJ8" s="712"/>
      <c r="BK8" s="712"/>
      <c r="BL8" s="712"/>
      <c r="BM8" s="712"/>
      <c r="BN8" s="91"/>
      <c r="BO8" s="712"/>
      <c r="BP8" s="712"/>
      <c r="BQ8" s="712"/>
      <c r="BR8" s="712"/>
      <c r="BS8" s="712"/>
      <c r="BT8" s="713"/>
      <c r="BU8" s="712"/>
      <c r="BV8" s="712"/>
      <c r="BW8" s="712"/>
      <c r="BX8" s="712"/>
      <c r="BY8" s="712"/>
      <c r="BZ8" s="713"/>
      <c r="CA8" s="712"/>
      <c r="CB8" s="712"/>
      <c r="CC8" s="712"/>
      <c r="CD8" s="712"/>
      <c r="CE8" s="712"/>
      <c r="CF8" s="713"/>
      <c r="CG8" s="712"/>
      <c r="CH8" s="712"/>
      <c r="CI8" s="712"/>
      <c r="CJ8" s="712"/>
      <c r="CK8" s="712"/>
      <c r="CL8" s="712"/>
      <c r="CM8" s="79"/>
      <c r="CN8" s="712"/>
      <c r="CO8" s="712"/>
      <c r="CP8" s="712"/>
      <c r="CQ8" s="712"/>
      <c r="CR8" s="712"/>
      <c r="CS8" s="713"/>
      <c r="CT8" s="712"/>
      <c r="CU8" s="712"/>
      <c r="CV8" s="712"/>
      <c r="CW8" s="712"/>
      <c r="CX8" s="712"/>
      <c r="CY8" s="713"/>
      <c r="CZ8" s="712"/>
      <c r="DA8" s="712"/>
      <c r="DB8" s="712"/>
      <c r="DC8" s="712"/>
      <c r="DD8" s="712"/>
      <c r="DE8" s="713"/>
      <c r="DF8" s="697"/>
      <c r="DG8" s="697"/>
      <c r="DH8" s="697"/>
      <c r="DI8" s="697"/>
      <c r="DJ8" s="697"/>
      <c r="DK8" s="697"/>
    </row>
    <row r="9" spans="1:115" s="4" customFormat="1" ht="22.5" customHeight="1" thickBot="1" x14ac:dyDescent="0.25">
      <c r="A9" s="80"/>
      <c r="B9" s="720"/>
      <c r="C9" s="721"/>
      <c r="D9" s="721"/>
      <c r="E9" s="721"/>
      <c r="F9" s="721"/>
      <c r="G9" s="721"/>
      <c r="H9" s="721"/>
      <c r="I9" s="722"/>
      <c r="J9" s="92" t="s">
        <v>22</v>
      </c>
      <c r="K9" s="294" t="s">
        <v>23</v>
      </c>
      <c r="L9" s="93" t="s">
        <v>24</v>
      </c>
      <c r="M9" s="294" t="s">
        <v>23</v>
      </c>
      <c r="N9" s="93" t="s">
        <v>25</v>
      </c>
      <c r="O9" s="346" t="s">
        <v>26</v>
      </c>
      <c r="P9" s="39"/>
      <c r="Q9" s="313" t="s">
        <v>22</v>
      </c>
      <c r="R9" s="294" t="s">
        <v>23</v>
      </c>
      <c r="S9" s="93" t="s">
        <v>24</v>
      </c>
      <c r="T9" s="294" t="s">
        <v>23</v>
      </c>
      <c r="U9" s="93" t="s">
        <v>25</v>
      </c>
      <c r="V9" s="94" t="s">
        <v>26</v>
      </c>
      <c r="W9" s="313" t="s">
        <v>22</v>
      </c>
      <c r="X9" s="294" t="s">
        <v>23</v>
      </c>
      <c r="Y9" s="294" t="s">
        <v>24</v>
      </c>
      <c r="Z9" s="294" t="s">
        <v>23</v>
      </c>
      <c r="AA9" s="294" t="s">
        <v>25</v>
      </c>
      <c r="AB9" s="94" t="s">
        <v>26</v>
      </c>
      <c r="AC9" s="313" t="s">
        <v>22</v>
      </c>
      <c r="AD9" s="294" t="s">
        <v>23</v>
      </c>
      <c r="AE9" s="294" t="s">
        <v>24</v>
      </c>
      <c r="AF9" s="294" t="s">
        <v>23</v>
      </c>
      <c r="AG9" s="294" t="s">
        <v>25</v>
      </c>
      <c r="AH9" s="94" t="s">
        <v>26</v>
      </c>
      <c r="AI9" s="92" t="s">
        <v>22</v>
      </c>
      <c r="AJ9" s="294" t="s">
        <v>23</v>
      </c>
      <c r="AK9" s="93" t="s">
        <v>24</v>
      </c>
      <c r="AL9" s="294" t="s">
        <v>23</v>
      </c>
      <c r="AM9" s="93" t="s">
        <v>25</v>
      </c>
      <c r="AN9" s="94"/>
      <c r="AO9" s="91"/>
      <c r="AP9" s="313" t="s">
        <v>22</v>
      </c>
      <c r="AQ9" s="294" t="s">
        <v>23</v>
      </c>
      <c r="AR9" s="294" t="s">
        <v>24</v>
      </c>
      <c r="AS9" s="294" t="s">
        <v>23</v>
      </c>
      <c r="AT9" s="294" t="s">
        <v>25</v>
      </c>
      <c r="AU9" s="94" t="s">
        <v>26</v>
      </c>
      <c r="AV9" s="313" t="s">
        <v>22</v>
      </c>
      <c r="AW9" s="294" t="s">
        <v>23</v>
      </c>
      <c r="AX9" s="294" t="s">
        <v>24</v>
      </c>
      <c r="AY9" s="294" t="s">
        <v>23</v>
      </c>
      <c r="AZ9" s="294" t="s">
        <v>25</v>
      </c>
      <c r="BA9" s="94" t="s">
        <v>26</v>
      </c>
      <c r="BB9" s="313" t="s">
        <v>22</v>
      </c>
      <c r="BC9" s="294" t="s">
        <v>23</v>
      </c>
      <c r="BD9" s="294" t="s">
        <v>24</v>
      </c>
      <c r="BE9" s="294" t="s">
        <v>23</v>
      </c>
      <c r="BF9" s="294" t="s">
        <v>25</v>
      </c>
      <c r="BG9" s="94" t="s">
        <v>26</v>
      </c>
      <c r="BH9" s="92" t="s">
        <v>22</v>
      </c>
      <c r="BI9" s="294" t="s">
        <v>23</v>
      </c>
      <c r="BJ9" s="93" t="s">
        <v>24</v>
      </c>
      <c r="BK9" s="294" t="s">
        <v>23</v>
      </c>
      <c r="BL9" s="93" t="s">
        <v>25</v>
      </c>
      <c r="BM9" s="94"/>
      <c r="BN9" s="91"/>
      <c r="BO9" s="313" t="s">
        <v>22</v>
      </c>
      <c r="BP9" s="294" t="s">
        <v>23</v>
      </c>
      <c r="BQ9" s="294" t="s">
        <v>24</v>
      </c>
      <c r="BR9" s="294" t="s">
        <v>23</v>
      </c>
      <c r="BS9" s="294" t="s">
        <v>25</v>
      </c>
      <c r="BT9" s="94" t="s">
        <v>26</v>
      </c>
      <c r="BU9" s="313" t="s">
        <v>22</v>
      </c>
      <c r="BV9" s="294" t="s">
        <v>23</v>
      </c>
      <c r="BW9" s="294" t="s">
        <v>24</v>
      </c>
      <c r="BX9" s="294" t="s">
        <v>23</v>
      </c>
      <c r="BY9" s="294" t="s">
        <v>25</v>
      </c>
      <c r="BZ9" s="94" t="s">
        <v>26</v>
      </c>
      <c r="CA9" s="313" t="s">
        <v>22</v>
      </c>
      <c r="CB9" s="294" t="s">
        <v>23</v>
      </c>
      <c r="CC9" s="294" t="s">
        <v>24</v>
      </c>
      <c r="CD9" s="294" t="s">
        <v>23</v>
      </c>
      <c r="CE9" s="294" t="s">
        <v>25</v>
      </c>
      <c r="CF9" s="94" t="s">
        <v>26</v>
      </c>
      <c r="CG9" s="92" t="s">
        <v>22</v>
      </c>
      <c r="CH9" s="294" t="s">
        <v>23</v>
      </c>
      <c r="CI9" s="93" t="s">
        <v>24</v>
      </c>
      <c r="CJ9" s="294" t="s">
        <v>23</v>
      </c>
      <c r="CK9" s="93" t="s">
        <v>25</v>
      </c>
      <c r="CL9" s="94"/>
      <c r="CM9" s="79"/>
      <c r="CN9" s="313" t="s">
        <v>22</v>
      </c>
      <c r="CO9" s="294" t="s">
        <v>23</v>
      </c>
      <c r="CP9" s="294" t="s">
        <v>24</v>
      </c>
      <c r="CQ9" s="294" t="s">
        <v>23</v>
      </c>
      <c r="CR9" s="294" t="s">
        <v>25</v>
      </c>
      <c r="CS9" s="94" t="s">
        <v>26</v>
      </c>
      <c r="CT9" s="313" t="s">
        <v>22</v>
      </c>
      <c r="CU9" s="294" t="s">
        <v>23</v>
      </c>
      <c r="CV9" s="294" t="s">
        <v>24</v>
      </c>
      <c r="CW9" s="294" t="s">
        <v>23</v>
      </c>
      <c r="CX9" s="294" t="s">
        <v>25</v>
      </c>
      <c r="CY9" s="94" t="s">
        <v>26</v>
      </c>
      <c r="CZ9" s="313" t="s">
        <v>22</v>
      </c>
      <c r="DA9" s="294" t="s">
        <v>23</v>
      </c>
      <c r="DB9" s="294" t="s">
        <v>24</v>
      </c>
      <c r="DC9" s="294" t="s">
        <v>23</v>
      </c>
      <c r="DD9" s="294" t="s">
        <v>25</v>
      </c>
      <c r="DE9" s="94" t="s">
        <v>26</v>
      </c>
      <c r="DF9" s="92" t="s">
        <v>22</v>
      </c>
      <c r="DG9" s="294" t="s">
        <v>23</v>
      </c>
      <c r="DH9" s="93" t="s">
        <v>24</v>
      </c>
      <c r="DI9" s="294" t="s">
        <v>23</v>
      </c>
      <c r="DJ9" s="93" t="s">
        <v>25</v>
      </c>
      <c r="DK9" s="5" t="s">
        <v>26</v>
      </c>
    </row>
    <row r="10" spans="1:115" s="3" customFormat="1" ht="21.75" customHeight="1" outlineLevel="1" thickTop="1" x14ac:dyDescent="0.25">
      <c r="A10" s="80">
        <v>1</v>
      </c>
      <c r="B10" s="698" t="s">
        <v>27</v>
      </c>
      <c r="C10" s="699"/>
      <c r="D10" s="699"/>
      <c r="E10" s="699"/>
      <c r="F10" s="699"/>
      <c r="G10" s="699"/>
      <c r="H10" s="699"/>
      <c r="I10" s="700"/>
      <c r="J10" s="228">
        <f t="shared" ref="J10:J41" si="0">SUM(Q10,W10,AC10,AP10,AV10,BB10,BO10,BU10,CA10,CN10,CT10,CZ10)</f>
        <v>0</v>
      </c>
      <c r="K10" s="295"/>
      <c r="L10" s="229">
        <f t="shared" ref="L10:L41" si="1">SUM(S10,Y10,AE10,AR10,AX10,BD10,BQ10,BW10,CC10,CP10,CV10,DB10)</f>
        <v>0</v>
      </c>
      <c r="M10" s="295"/>
      <c r="N10" s="206">
        <f t="shared" ref="N10:N41" si="2">J10-L10</f>
        <v>0</v>
      </c>
      <c r="O10" s="41">
        <f t="shared" ref="O10:O41" si="3">SUM(V10,AB10,AH10,AU10,BA10,BG10,BT10,BZ10,CF10,CS10,CY10,DE10)</f>
        <v>0</v>
      </c>
      <c r="P10" s="42"/>
      <c r="Q10" s="314"/>
      <c r="R10" s="354"/>
      <c r="S10" s="355"/>
      <c r="T10" s="356"/>
      <c r="U10" s="355">
        <f t="shared" ref="U10:U41" si="4">Q10-S10</f>
        <v>0</v>
      </c>
      <c r="V10" s="96"/>
      <c r="W10" s="314"/>
      <c r="X10" s="354"/>
      <c r="Y10" s="355"/>
      <c r="Z10" s="356"/>
      <c r="AA10" s="355">
        <f t="shared" ref="AA10:AA73" si="5">W10-Y10</f>
        <v>0</v>
      </c>
      <c r="AB10" s="96"/>
      <c r="AC10" s="314"/>
      <c r="AD10" s="354"/>
      <c r="AE10" s="355"/>
      <c r="AF10" s="356"/>
      <c r="AG10" s="355">
        <f t="shared" ref="AG10:AG73" si="6">AC10-AE10</f>
        <v>0</v>
      </c>
      <c r="AH10" s="97">
        <f t="shared" ref="AH10:AH41" si="7">AE10-AF10</f>
        <v>0</v>
      </c>
      <c r="AI10" s="285">
        <f t="shared" ref="AI10:AI41" si="8">SUM(Q10,W10,AC10)</f>
        <v>0</v>
      </c>
      <c r="AJ10" s="295"/>
      <c r="AK10" s="229">
        <f t="shared" ref="AK10:AK41" si="9">SUM(S10,Y10,AE10)</f>
        <v>0</v>
      </c>
      <c r="AL10" s="295"/>
      <c r="AM10" s="229">
        <f t="shared" ref="AM10:AM41" si="10">AI10-AK10</f>
        <v>0</v>
      </c>
      <c r="AN10" s="96"/>
      <c r="AO10" s="99"/>
      <c r="AP10" s="314"/>
      <c r="AQ10" s="354"/>
      <c r="AR10" s="355"/>
      <c r="AS10" s="356"/>
      <c r="AT10" s="355">
        <f t="shared" ref="AT10:AT73" si="11">AP10-AR10</f>
        <v>0</v>
      </c>
      <c r="AU10" s="96"/>
      <c r="AV10" s="314"/>
      <c r="AW10" s="354"/>
      <c r="AX10" s="355"/>
      <c r="AY10" s="356"/>
      <c r="AZ10" s="355">
        <f t="shared" ref="AZ10:AZ73" si="12">AV10-AX10</f>
        <v>0</v>
      </c>
      <c r="BA10" s="96"/>
      <c r="BB10" s="314"/>
      <c r="BC10" s="354"/>
      <c r="BD10" s="355"/>
      <c r="BE10" s="356"/>
      <c r="BF10" s="355">
        <f t="shared" ref="BF10:BF73" si="13">BB10-BD10</f>
        <v>0</v>
      </c>
      <c r="BG10" s="96"/>
      <c r="BH10" s="285">
        <f t="shared" ref="BH10:BH41" si="14">SUM(AP10,AV10,BB10)</f>
        <v>0</v>
      </c>
      <c r="BI10" s="295"/>
      <c r="BJ10" s="229">
        <f t="shared" ref="BJ10:BJ41" si="15">SUM(AR10,AX10,BD10)</f>
        <v>0</v>
      </c>
      <c r="BK10" s="295"/>
      <c r="BL10" s="229">
        <f t="shared" ref="BL10:BL41" si="16">BH10-BJ10</f>
        <v>0</v>
      </c>
      <c r="BM10" s="96"/>
      <c r="BN10" s="99"/>
      <c r="BO10" s="314"/>
      <c r="BP10" s="354"/>
      <c r="BQ10" s="355"/>
      <c r="BR10" s="356"/>
      <c r="BS10" s="355">
        <f t="shared" ref="BS10:BS73" si="17">BO10-BQ10</f>
        <v>0</v>
      </c>
      <c r="BT10" s="96"/>
      <c r="BU10" s="314"/>
      <c r="BV10" s="354"/>
      <c r="BW10" s="355"/>
      <c r="BX10" s="356"/>
      <c r="BY10" s="355">
        <f t="shared" ref="BY10:BY73" si="18">BU10-BW10</f>
        <v>0</v>
      </c>
      <c r="BZ10" s="96"/>
      <c r="CA10" s="314"/>
      <c r="CB10" s="354"/>
      <c r="CC10" s="355"/>
      <c r="CD10" s="356"/>
      <c r="CE10" s="355">
        <f t="shared" ref="CE10:CE73" si="19">CA10-CC10</f>
        <v>0</v>
      </c>
      <c r="CF10" s="96"/>
      <c r="CG10" s="285">
        <f t="shared" ref="CG10:CG41" si="20">SUM(BO10,BU10,CA10)</f>
        <v>0</v>
      </c>
      <c r="CH10" s="295"/>
      <c r="CI10" s="229">
        <f t="shared" ref="CI10:CI41" si="21">SUM(BQ10,BW10,CC10)</f>
        <v>0</v>
      </c>
      <c r="CJ10" s="295"/>
      <c r="CK10" s="229">
        <f t="shared" ref="CK10:CK41" si="22">CG10-CI10</f>
        <v>0</v>
      </c>
      <c r="CL10" s="96"/>
      <c r="CM10" s="100"/>
      <c r="CN10" s="314"/>
      <c r="CO10" s="354"/>
      <c r="CP10" s="355"/>
      <c r="CQ10" s="356"/>
      <c r="CR10" s="355">
        <f t="shared" ref="CR10:CR73" si="23">CN10-CP10</f>
        <v>0</v>
      </c>
      <c r="CS10" s="96"/>
      <c r="CT10" s="314"/>
      <c r="CU10" s="354"/>
      <c r="CV10" s="355"/>
      <c r="CW10" s="356"/>
      <c r="CX10" s="355">
        <f t="shared" ref="CX10:CX73" si="24">CT10-CV10</f>
        <v>0</v>
      </c>
      <c r="CY10" s="96"/>
      <c r="CZ10" s="314"/>
      <c r="DA10" s="354"/>
      <c r="DB10" s="355"/>
      <c r="DC10" s="356"/>
      <c r="DD10" s="355">
        <f t="shared" ref="DD10:DD73" si="25">CZ10-DB10</f>
        <v>0</v>
      </c>
      <c r="DE10" s="96"/>
      <c r="DF10" s="285">
        <f t="shared" ref="DF10:DF41" si="26">SUM(CN10,CT10,CZ10)</f>
        <v>0</v>
      </c>
      <c r="DG10" s="295"/>
      <c r="DH10" s="229">
        <f t="shared" ref="DH10:DH41" si="27">SUM(CP10,CV10,DB10)</f>
        <v>0</v>
      </c>
      <c r="DI10" s="295"/>
      <c r="DJ10" s="229">
        <f t="shared" ref="DJ10:DJ41" si="28">DF10-DH10</f>
        <v>0</v>
      </c>
      <c r="DK10" s="7"/>
    </row>
    <row r="11" spans="1:115" s="3" customFormat="1" ht="21.75" customHeight="1" outlineLevel="1" x14ac:dyDescent="0.25">
      <c r="A11" s="80">
        <v>2</v>
      </c>
      <c r="B11" s="701" t="s">
        <v>28</v>
      </c>
      <c r="C11" s="702"/>
      <c r="D11" s="702"/>
      <c r="E11" s="702"/>
      <c r="F11" s="702"/>
      <c r="G11" s="702"/>
      <c r="H11" s="702"/>
      <c r="I11" s="703"/>
      <c r="J11" s="230">
        <f t="shared" si="0"/>
        <v>0</v>
      </c>
      <c r="K11" s="296"/>
      <c r="L11" s="231">
        <f t="shared" si="1"/>
        <v>0</v>
      </c>
      <c r="M11" s="296"/>
      <c r="N11" s="207">
        <f t="shared" si="2"/>
        <v>0</v>
      </c>
      <c r="O11" s="44">
        <f t="shared" si="3"/>
        <v>0</v>
      </c>
      <c r="P11" s="42"/>
      <c r="Q11" s="315"/>
      <c r="R11" s="357"/>
      <c r="S11" s="358"/>
      <c r="T11" s="359"/>
      <c r="U11" s="358">
        <f t="shared" si="4"/>
        <v>0</v>
      </c>
      <c r="V11" s="102"/>
      <c r="W11" s="315"/>
      <c r="X11" s="357"/>
      <c r="Y11" s="358"/>
      <c r="Z11" s="359"/>
      <c r="AA11" s="358">
        <f t="shared" si="5"/>
        <v>0</v>
      </c>
      <c r="AB11" s="102"/>
      <c r="AC11" s="315"/>
      <c r="AD11" s="357"/>
      <c r="AE11" s="358"/>
      <c r="AF11" s="359"/>
      <c r="AG11" s="358">
        <f t="shared" si="6"/>
        <v>0</v>
      </c>
      <c r="AH11" s="103">
        <f t="shared" si="7"/>
        <v>0</v>
      </c>
      <c r="AI11" s="286">
        <f t="shared" si="8"/>
        <v>0</v>
      </c>
      <c r="AJ11" s="296"/>
      <c r="AK11" s="231">
        <f t="shared" si="9"/>
        <v>0</v>
      </c>
      <c r="AL11" s="296"/>
      <c r="AM11" s="231">
        <f t="shared" si="10"/>
        <v>0</v>
      </c>
      <c r="AN11" s="102"/>
      <c r="AO11" s="99"/>
      <c r="AP11" s="315"/>
      <c r="AQ11" s="357"/>
      <c r="AR11" s="358"/>
      <c r="AS11" s="359"/>
      <c r="AT11" s="358">
        <f t="shared" si="11"/>
        <v>0</v>
      </c>
      <c r="AU11" s="102"/>
      <c r="AV11" s="315"/>
      <c r="AW11" s="357"/>
      <c r="AX11" s="358"/>
      <c r="AY11" s="359"/>
      <c r="AZ11" s="358">
        <f t="shared" si="12"/>
        <v>0</v>
      </c>
      <c r="BA11" s="102"/>
      <c r="BB11" s="315"/>
      <c r="BC11" s="357"/>
      <c r="BD11" s="358"/>
      <c r="BE11" s="359"/>
      <c r="BF11" s="358">
        <f t="shared" si="13"/>
        <v>0</v>
      </c>
      <c r="BG11" s="102"/>
      <c r="BH11" s="286">
        <f t="shared" si="14"/>
        <v>0</v>
      </c>
      <c r="BI11" s="296"/>
      <c r="BJ11" s="231">
        <f t="shared" si="15"/>
        <v>0</v>
      </c>
      <c r="BK11" s="296"/>
      <c r="BL11" s="231">
        <f t="shared" si="16"/>
        <v>0</v>
      </c>
      <c r="BM11" s="102"/>
      <c r="BN11" s="99"/>
      <c r="BO11" s="315"/>
      <c r="BP11" s="357"/>
      <c r="BQ11" s="358"/>
      <c r="BR11" s="359"/>
      <c r="BS11" s="358">
        <f t="shared" si="17"/>
        <v>0</v>
      </c>
      <c r="BT11" s="102"/>
      <c r="BU11" s="315"/>
      <c r="BV11" s="357"/>
      <c r="BW11" s="358"/>
      <c r="BX11" s="359"/>
      <c r="BY11" s="358">
        <f t="shared" si="18"/>
        <v>0</v>
      </c>
      <c r="BZ11" s="102"/>
      <c r="CA11" s="315"/>
      <c r="CB11" s="357"/>
      <c r="CC11" s="358"/>
      <c r="CD11" s="359"/>
      <c r="CE11" s="358">
        <f t="shared" si="19"/>
        <v>0</v>
      </c>
      <c r="CF11" s="102"/>
      <c r="CG11" s="286">
        <f t="shared" si="20"/>
        <v>0</v>
      </c>
      <c r="CH11" s="296"/>
      <c r="CI11" s="231">
        <f t="shared" si="21"/>
        <v>0</v>
      </c>
      <c r="CJ11" s="296"/>
      <c r="CK11" s="231">
        <f t="shared" si="22"/>
        <v>0</v>
      </c>
      <c r="CL11" s="102"/>
      <c r="CM11" s="100"/>
      <c r="CN11" s="315"/>
      <c r="CO11" s="357"/>
      <c r="CP11" s="358"/>
      <c r="CQ11" s="359"/>
      <c r="CR11" s="358">
        <f t="shared" si="23"/>
        <v>0</v>
      </c>
      <c r="CS11" s="102"/>
      <c r="CT11" s="315"/>
      <c r="CU11" s="357"/>
      <c r="CV11" s="358"/>
      <c r="CW11" s="359"/>
      <c r="CX11" s="358">
        <f t="shared" si="24"/>
        <v>0</v>
      </c>
      <c r="CY11" s="102"/>
      <c r="CZ11" s="315"/>
      <c r="DA11" s="357"/>
      <c r="DB11" s="358"/>
      <c r="DC11" s="359"/>
      <c r="DD11" s="358">
        <f t="shared" si="25"/>
        <v>0</v>
      </c>
      <c r="DE11" s="102"/>
      <c r="DF11" s="286">
        <f t="shared" si="26"/>
        <v>0</v>
      </c>
      <c r="DG11" s="296"/>
      <c r="DH11" s="231">
        <f t="shared" si="27"/>
        <v>0</v>
      </c>
      <c r="DI11" s="296"/>
      <c r="DJ11" s="231">
        <f t="shared" si="28"/>
        <v>0</v>
      </c>
      <c r="DK11" s="8"/>
    </row>
    <row r="12" spans="1:115" s="3" customFormat="1" ht="21.75" customHeight="1" outlineLevel="1" thickBot="1" x14ac:dyDescent="0.3">
      <c r="A12" s="80">
        <v>3</v>
      </c>
      <c r="B12" s="704" t="s">
        <v>29</v>
      </c>
      <c r="C12" s="705"/>
      <c r="D12" s="705"/>
      <c r="E12" s="705"/>
      <c r="F12" s="705"/>
      <c r="G12" s="705"/>
      <c r="H12" s="705"/>
      <c r="I12" s="706"/>
      <c r="J12" s="232">
        <f t="shared" si="0"/>
        <v>0</v>
      </c>
      <c r="K12" s="297"/>
      <c r="L12" s="233">
        <f t="shared" si="1"/>
        <v>0</v>
      </c>
      <c r="M12" s="297"/>
      <c r="N12" s="208">
        <f t="shared" si="2"/>
        <v>0</v>
      </c>
      <c r="O12" s="46">
        <f t="shared" si="3"/>
        <v>0</v>
      </c>
      <c r="P12" s="47"/>
      <c r="Q12" s="316"/>
      <c r="R12" s="360"/>
      <c r="S12" s="361"/>
      <c r="T12" s="362"/>
      <c r="U12" s="361">
        <f t="shared" si="4"/>
        <v>0</v>
      </c>
      <c r="V12" s="106"/>
      <c r="W12" s="316"/>
      <c r="X12" s="360"/>
      <c r="Y12" s="361"/>
      <c r="Z12" s="362"/>
      <c r="AA12" s="361">
        <f t="shared" si="5"/>
        <v>0</v>
      </c>
      <c r="AB12" s="106"/>
      <c r="AC12" s="316"/>
      <c r="AD12" s="360"/>
      <c r="AE12" s="361"/>
      <c r="AF12" s="362"/>
      <c r="AG12" s="361">
        <f t="shared" si="6"/>
        <v>0</v>
      </c>
      <c r="AH12" s="107">
        <f t="shared" si="7"/>
        <v>0</v>
      </c>
      <c r="AI12" s="287">
        <f t="shared" si="8"/>
        <v>0</v>
      </c>
      <c r="AJ12" s="297"/>
      <c r="AK12" s="233">
        <f t="shared" si="9"/>
        <v>0</v>
      </c>
      <c r="AL12" s="297"/>
      <c r="AM12" s="233">
        <f t="shared" si="10"/>
        <v>0</v>
      </c>
      <c r="AN12" s="106"/>
      <c r="AO12" s="99"/>
      <c r="AP12" s="316"/>
      <c r="AQ12" s="360"/>
      <c r="AR12" s="361"/>
      <c r="AS12" s="362"/>
      <c r="AT12" s="361">
        <f t="shared" si="11"/>
        <v>0</v>
      </c>
      <c r="AU12" s="106"/>
      <c r="AV12" s="316"/>
      <c r="AW12" s="360"/>
      <c r="AX12" s="361"/>
      <c r="AY12" s="362"/>
      <c r="AZ12" s="361">
        <f t="shared" si="12"/>
        <v>0</v>
      </c>
      <c r="BA12" s="106"/>
      <c r="BB12" s="316"/>
      <c r="BC12" s="360"/>
      <c r="BD12" s="361"/>
      <c r="BE12" s="362"/>
      <c r="BF12" s="361">
        <f t="shared" si="13"/>
        <v>0</v>
      </c>
      <c r="BG12" s="106"/>
      <c r="BH12" s="287">
        <f t="shared" si="14"/>
        <v>0</v>
      </c>
      <c r="BI12" s="297"/>
      <c r="BJ12" s="233">
        <f t="shared" si="15"/>
        <v>0</v>
      </c>
      <c r="BK12" s="297"/>
      <c r="BL12" s="233">
        <f t="shared" si="16"/>
        <v>0</v>
      </c>
      <c r="BM12" s="106"/>
      <c r="BN12" s="99"/>
      <c r="BO12" s="316"/>
      <c r="BP12" s="360"/>
      <c r="BQ12" s="361"/>
      <c r="BR12" s="362"/>
      <c r="BS12" s="361">
        <f t="shared" si="17"/>
        <v>0</v>
      </c>
      <c r="BT12" s="106"/>
      <c r="BU12" s="316"/>
      <c r="BV12" s="360"/>
      <c r="BW12" s="361"/>
      <c r="BX12" s="362"/>
      <c r="BY12" s="361">
        <f t="shared" si="18"/>
        <v>0</v>
      </c>
      <c r="BZ12" s="106"/>
      <c r="CA12" s="316"/>
      <c r="CB12" s="360"/>
      <c r="CC12" s="361"/>
      <c r="CD12" s="362"/>
      <c r="CE12" s="361">
        <f t="shared" si="19"/>
        <v>0</v>
      </c>
      <c r="CF12" s="106"/>
      <c r="CG12" s="287">
        <f t="shared" si="20"/>
        <v>0</v>
      </c>
      <c r="CH12" s="297"/>
      <c r="CI12" s="233">
        <f t="shared" si="21"/>
        <v>0</v>
      </c>
      <c r="CJ12" s="297"/>
      <c r="CK12" s="233">
        <f t="shared" si="22"/>
        <v>0</v>
      </c>
      <c r="CL12" s="106"/>
      <c r="CM12" s="100"/>
      <c r="CN12" s="316"/>
      <c r="CO12" s="360"/>
      <c r="CP12" s="361"/>
      <c r="CQ12" s="362"/>
      <c r="CR12" s="361">
        <f t="shared" si="23"/>
        <v>0</v>
      </c>
      <c r="CS12" s="106"/>
      <c r="CT12" s="316"/>
      <c r="CU12" s="360"/>
      <c r="CV12" s="361"/>
      <c r="CW12" s="362"/>
      <c r="CX12" s="361">
        <f t="shared" si="24"/>
        <v>0</v>
      </c>
      <c r="CY12" s="106"/>
      <c r="CZ12" s="316"/>
      <c r="DA12" s="360"/>
      <c r="DB12" s="361"/>
      <c r="DC12" s="362"/>
      <c r="DD12" s="361">
        <f t="shared" si="25"/>
        <v>0</v>
      </c>
      <c r="DE12" s="106"/>
      <c r="DF12" s="287">
        <f t="shared" si="26"/>
        <v>0</v>
      </c>
      <c r="DG12" s="297"/>
      <c r="DH12" s="233">
        <f t="shared" si="27"/>
        <v>0</v>
      </c>
      <c r="DI12" s="297"/>
      <c r="DJ12" s="233">
        <f t="shared" si="28"/>
        <v>0</v>
      </c>
      <c r="DK12" s="9"/>
    </row>
    <row r="13" spans="1:115" s="3" customFormat="1" ht="21.75" customHeight="1" outlineLevel="1" thickBot="1" x14ac:dyDescent="0.3">
      <c r="A13" s="80">
        <v>4</v>
      </c>
      <c r="B13" s="707" t="s">
        <v>30</v>
      </c>
      <c r="C13" s="708"/>
      <c r="D13" s="708"/>
      <c r="E13" s="708"/>
      <c r="F13" s="708"/>
      <c r="G13" s="708"/>
      <c r="H13" s="708"/>
      <c r="I13" s="709"/>
      <c r="J13" s="234">
        <f t="shared" si="0"/>
        <v>0</v>
      </c>
      <c r="K13" s="298"/>
      <c r="L13" s="235">
        <f t="shared" si="1"/>
        <v>0</v>
      </c>
      <c r="M13" s="298"/>
      <c r="N13" s="209">
        <f t="shared" si="2"/>
        <v>0</v>
      </c>
      <c r="O13" s="41">
        <f t="shared" si="3"/>
        <v>0</v>
      </c>
      <c r="P13" s="47"/>
      <c r="Q13" s="317"/>
      <c r="R13" s="363"/>
      <c r="S13" s="364"/>
      <c r="T13" s="365"/>
      <c r="U13" s="364">
        <f t="shared" si="4"/>
        <v>0</v>
      </c>
      <c r="V13" s="108"/>
      <c r="W13" s="317"/>
      <c r="X13" s="363"/>
      <c r="Y13" s="364"/>
      <c r="Z13" s="365"/>
      <c r="AA13" s="364">
        <f t="shared" si="5"/>
        <v>0</v>
      </c>
      <c r="AB13" s="108"/>
      <c r="AC13" s="317"/>
      <c r="AD13" s="363"/>
      <c r="AE13" s="364"/>
      <c r="AF13" s="365"/>
      <c r="AG13" s="364">
        <f t="shared" si="6"/>
        <v>0</v>
      </c>
      <c r="AH13" s="109">
        <f t="shared" si="7"/>
        <v>0</v>
      </c>
      <c r="AI13" s="288">
        <f t="shared" si="8"/>
        <v>0</v>
      </c>
      <c r="AJ13" s="298"/>
      <c r="AK13" s="235">
        <f t="shared" si="9"/>
        <v>0</v>
      </c>
      <c r="AL13" s="298"/>
      <c r="AM13" s="235">
        <f t="shared" si="10"/>
        <v>0</v>
      </c>
      <c r="AN13" s="108"/>
      <c r="AO13" s="99"/>
      <c r="AP13" s="317"/>
      <c r="AQ13" s="363"/>
      <c r="AR13" s="364"/>
      <c r="AS13" s="365"/>
      <c r="AT13" s="364">
        <f t="shared" si="11"/>
        <v>0</v>
      </c>
      <c r="AU13" s="108"/>
      <c r="AV13" s="317"/>
      <c r="AW13" s="363"/>
      <c r="AX13" s="364"/>
      <c r="AY13" s="365"/>
      <c r="AZ13" s="364">
        <f t="shared" si="12"/>
        <v>0</v>
      </c>
      <c r="BA13" s="108"/>
      <c r="BB13" s="317"/>
      <c r="BC13" s="363"/>
      <c r="BD13" s="364"/>
      <c r="BE13" s="365"/>
      <c r="BF13" s="364">
        <f t="shared" si="13"/>
        <v>0</v>
      </c>
      <c r="BG13" s="108"/>
      <c r="BH13" s="288">
        <f t="shared" si="14"/>
        <v>0</v>
      </c>
      <c r="BI13" s="298"/>
      <c r="BJ13" s="235">
        <f t="shared" si="15"/>
        <v>0</v>
      </c>
      <c r="BK13" s="298"/>
      <c r="BL13" s="235">
        <f t="shared" si="16"/>
        <v>0</v>
      </c>
      <c r="BM13" s="108"/>
      <c r="BN13" s="99"/>
      <c r="BO13" s="317"/>
      <c r="BP13" s="363"/>
      <c r="BQ13" s="364"/>
      <c r="BR13" s="365"/>
      <c r="BS13" s="364">
        <f t="shared" si="17"/>
        <v>0</v>
      </c>
      <c r="BT13" s="108"/>
      <c r="BU13" s="317"/>
      <c r="BV13" s="363"/>
      <c r="BW13" s="364"/>
      <c r="BX13" s="365"/>
      <c r="BY13" s="364">
        <f t="shared" si="18"/>
        <v>0</v>
      </c>
      <c r="BZ13" s="108"/>
      <c r="CA13" s="317"/>
      <c r="CB13" s="363"/>
      <c r="CC13" s="364"/>
      <c r="CD13" s="365"/>
      <c r="CE13" s="364">
        <f t="shared" si="19"/>
        <v>0</v>
      </c>
      <c r="CF13" s="108"/>
      <c r="CG13" s="288">
        <f t="shared" si="20"/>
        <v>0</v>
      </c>
      <c r="CH13" s="298"/>
      <c r="CI13" s="235">
        <f t="shared" si="21"/>
        <v>0</v>
      </c>
      <c r="CJ13" s="298"/>
      <c r="CK13" s="235">
        <f t="shared" si="22"/>
        <v>0</v>
      </c>
      <c r="CL13" s="108"/>
      <c r="CM13" s="100"/>
      <c r="CN13" s="317"/>
      <c r="CO13" s="363"/>
      <c r="CP13" s="364"/>
      <c r="CQ13" s="365"/>
      <c r="CR13" s="364">
        <f t="shared" si="23"/>
        <v>0</v>
      </c>
      <c r="CS13" s="108"/>
      <c r="CT13" s="317"/>
      <c r="CU13" s="363"/>
      <c r="CV13" s="364"/>
      <c r="CW13" s="365"/>
      <c r="CX13" s="364">
        <f t="shared" si="24"/>
        <v>0</v>
      </c>
      <c r="CY13" s="108"/>
      <c r="CZ13" s="317"/>
      <c r="DA13" s="363"/>
      <c r="DB13" s="364"/>
      <c r="DC13" s="365"/>
      <c r="DD13" s="364">
        <f t="shared" si="25"/>
        <v>0</v>
      </c>
      <c r="DE13" s="108"/>
      <c r="DF13" s="288">
        <f t="shared" si="26"/>
        <v>0</v>
      </c>
      <c r="DG13" s="298"/>
      <c r="DH13" s="235">
        <f t="shared" si="27"/>
        <v>0</v>
      </c>
      <c r="DI13" s="298"/>
      <c r="DJ13" s="235">
        <f t="shared" si="28"/>
        <v>0</v>
      </c>
      <c r="DK13" s="10"/>
    </row>
    <row r="14" spans="1:115" s="3" customFormat="1" ht="21.75" customHeight="1" outlineLevel="1" x14ac:dyDescent="0.25">
      <c r="A14" s="80">
        <v>5</v>
      </c>
      <c r="B14" s="774" t="s">
        <v>31</v>
      </c>
      <c r="C14" s="775"/>
      <c r="D14" s="775"/>
      <c r="E14" s="775"/>
      <c r="F14" s="775"/>
      <c r="G14" s="775"/>
      <c r="H14" s="775"/>
      <c r="I14" s="776"/>
      <c r="J14" s="228">
        <f t="shared" si="0"/>
        <v>0</v>
      </c>
      <c r="K14" s="295"/>
      <c r="L14" s="229">
        <f t="shared" si="1"/>
        <v>0</v>
      </c>
      <c r="M14" s="295"/>
      <c r="N14" s="206">
        <f t="shared" si="2"/>
        <v>0</v>
      </c>
      <c r="O14" s="43">
        <f t="shared" si="3"/>
        <v>0</v>
      </c>
      <c r="P14" s="47"/>
      <c r="Q14" s="318"/>
      <c r="R14" s="354"/>
      <c r="S14" s="355"/>
      <c r="T14" s="356"/>
      <c r="U14" s="355">
        <f t="shared" si="4"/>
        <v>0</v>
      </c>
      <c r="V14" s="96"/>
      <c r="W14" s="318"/>
      <c r="X14" s="354"/>
      <c r="Y14" s="355"/>
      <c r="Z14" s="356"/>
      <c r="AA14" s="355">
        <f t="shared" si="5"/>
        <v>0</v>
      </c>
      <c r="AB14" s="96"/>
      <c r="AC14" s="318"/>
      <c r="AD14" s="354"/>
      <c r="AE14" s="355"/>
      <c r="AF14" s="356"/>
      <c r="AG14" s="355">
        <f t="shared" si="6"/>
        <v>0</v>
      </c>
      <c r="AH14" s="97">
        <f t="shared" si="7"/>
        <v>0</v>
      </c>
      <c r="AI14" s="285">
        <f t="shared" si="8"/>
        <v>0</v>
      </c>
      <c r="AJ14" s="295"/>
      <c r="AK14" s="229">
        <f t="shared" si="9"/>
        <v>0</v>
      </c>
      <c r="AL14" s="295"/>
      <c r="AM14" s="229">
        <f t="shared" si="10"/>
        <v>0</v>
      </c>
      <c r="AN14" s="96"/>
      <c r="AO14" s="99"/>
      <c r="AP14" s="318"/>
      <c r="AQ14" s="354"/>
      <c r="AR14" s="355"/>
      <c r="AS14" s="356"/>
      <c r="AT14" s="355">
        <f t="shared" si="11"/>
        <v>0</v>
      </c>
      <c r="AU14" s="96"/>
      <c r="AV14" s="318"/>
      <c r="AW14" s="354"/>
      <c r="AX14" s="355"/>
      <c r="AY14" s="356"/>
      <c r="AZ14" s="355">
        <f t="shared" si="12"/>
        <v>0</v>
      </c>
      <c r="BA14" s="96"/>
      <c r="BB14" s="318"/>
      <c r="BC14" s="354"/>
      <c r="BD14" s="355"/>
      <c r="BE14" s="356"/>
      <c r="BF14" s="355">
        <f t="shared" si="13"/>
        <v>0</v>
      </c>
      <c r="BG14" s="96"/>
      <c r="BH14" s="285">
        <f t="shared" si="14"/>
        <v>0</v>
      </c>
      <c r="BI14" s="295"/>
      <c r="BJ14" s="229">
        <f t="shared" si="15"/>
        <v>0</v>
      </c>
      <c r="BK14" s="295"/>
      <c r="BL14" s="229">
        <f t="shared" si="16"/>
        <v>0</v>
      </c>
      <c r="BM14" s="96"/>
      <c r="BN14" s="99"/>
      <c r="BO14" s="318"/>
      <c r="BP14" s="354"/>
      <c r="BQ14" s="355"/>
      <c r="BR14" s="356"/>
      <c r="BS14" s="355">
        <f t="shared" si="17"/>
        <v>0</v>
      </c>
      <c r="BT14" s="96"/>
      <c r="BU14" s="318"/>
      <c r="BV14" s="354"/>
      <c r="BW14" s="355"/>
      <c r="BX14" s="356"/>
      <c r="BY14" s="355">
        <f t="shared" si="18"/>
        <v>0</v>
      </c>
      <c r="BZ14" s="96"/>
      <c r="CA14" s="318"/>
      <c r="CB14" s="354"/>
      <c r="CC14" s="355"/>
      <c r="CD14" s="356"/>
      <c r="CE14" s="355">
        <f t="shared" si="19"/>
        <v>0</v>
      </c>
      <c r="CF14" s="96"/>
      <c r="CG14" s="285">
        <f t="shared" si="20"/>
        <v>0</v>
      </c>
      <c r="CH14" s="295"/>
      <c r="CI14" s="229">
        <f t="shared" si="21"/>
        <v>0</v>
      </c>
      <c r="CJ14" s="295"/>
      <c r="CK14" s="229">
        <f t="shared" si="22"/>
        <v>0</v>
      </c>
      <c r="CL14" s="96"/>
      <c r="CM14" s="100"/>
      <c r="CN14" s="318"/>
      <c r="CO14" s="354"/>
      <c r="CP14" s="355"/>
      <c r="CQ14" s="356"/>
      <c r="CR14" s="355">
        <f t="shared" si="23"/>
        <v>0</v>
      </c>
      <c r="CS14" s="96"/>
      <c r="CT14" s="318"/>
      <c r="CU14" s="354"/>
      <c r="CV14" s="355"/>
      <c r="CW14" s="356"/>
      <c r="CX14" s="355">
        <f t="shared" si="24"/>
        <v>0</v>
      </c>
      <c r="CY14" s="96"/>
      <c r="CZ14" s="318"/>
      <c r="DA14" s="354"/>
      <c r="DB14" s="355"/>
      <c r="DC14" s="356"/>
      <c r="DD14" s="355">
        <f t="shared" si="25"/>
        <v>0</v>
      </c>
      <c r="DE14" s="96"/>
      <c r="DF14" s="285">
        <f t="shared" si="26"/>
        <v>0</v>
      </c>
      <c r="DG14" s="295"/>
      <c r="DH14" s="229">
        <f t="shared" si="27"/>
        <v>0</v>
      </c>
      <c r="DI14" s="295"/>
      <c r="DJ14" s="229">
        <f t="shared" si="28"/>
        <v>0</v>
      </c>
      <c r="DK14" s="7"/>
    </row>
    <row r="15" spans="1:115" s="3" customFormat="1" ht="21.75" customHeight="1" outlineLevel="1" x14ac:dyDescent="0.25">
      <c r="A15" s="80">
        <v>6</v>
      </c>
      <c r="B15" s="729" t="s">
        <v>162</v>
      </c>
      <c r="C15" s="730"/>
      <c r="D15" s="730"/>
      <c r="E15" s="730"/>
      <c r="F15" s="730"/>
      <c r="G15" s="730"/>
      <c r="H15" s="730"/>
      <c r="I15" s="731"/>
      <c r="J15" s="230">
        <f t="shared" si="0"/>
        <v>0</v>
      </c>
      <c r="K15" s="296"/>
      <c r="L15" s="231">
        <f t="shared" si="1"/>
        <v>0</v>
      </c>
      <c r="M15" s="296"/>
      <c r="N15" s="207">
        <f t="shared" si="2"/>
        <v>0</v>
      </c>
      <c r="O15" s="45">
        <f t="shared" si="3"/>
        <v>0</v>
      </c>
      <c r="P15" s="47"/>
      <c r="Q15" s="315"/>
      <c r="R15" s="357"/>
      <c r="S15" s="358"/>
      <c r="T15" s="359"/>
      <c r="U15" s="358">
        <f t="shared" si="4"/>
        <v>0</v>
      </c>
      <c r="V15" s="102"/>
      <c r="W15" s="315"/>
      <c r="X15" s="357"/>
      <c r="Y15" s="358"/>
      <c r="Z15" s="359"/>
      <c r="AA15" s="358">
        <f t="shared" si="5"/>
        <v>0</v>
      </c>
      <c r="AB15" s="102"/>
      <c r="AC15" s="315"/>
      <c r="AD15" s="357"/>
      <c r="AE15" s="358"/>
      <c r="AF15" s="359"/>
      <c r="AG15" s="358">
        <f t="shared" si="6"/>
        <v>0</v>
      </c>
      <c r="AH15" s="103">
        <f t="shared" si="7"/>
        <v>0</v>
      </c>
      <c r="AI15" s="286">
        <f t="shared" si="8"/>
        <v>0</v>
      </c>
      <c r="AJ15" s="296"/>
      <c r="AK15" s="231">
        <f t="shared" si="9"/>
        <v>0</v>
      </c>
      <c r="AL15" s="296"/>
      <c r="AM15" s="231">
        <f t="shared" si="10"/>
        <v>0</v>
      </c>
      <c r="AN15" s="102"/>
      <c r="AO15" s="99"/>
      <c r="AP15" s="315"/>
      <c r="AQ15" s="357"/>
      <c r="AR15" s="358"/>
      <c r="AS15" s="359"/>
      <c r="AT15" s="358">
        <f t="shared" si="11"/>
        <v>0</v>
      </c>
      <c r="AU15" s="102"/>
      <c r="AV15" s="315"/>
      <c r="AW15" s="357"/>
      <c r="AX15" s="358"/>
      <c r="AY15" s="359"/>
      <c r="AZ15" s="358">
        <f t="shared" si="12"/>
        <v>0</v>
      </c>
      <c r="BA15" s="102"/>
      <c r="BB15" s="315"/>
      <c r="BC15" s="357"/>
      <c r="BD15" s="358"/>
      <c r="BE15" s="359"/>
      <c r="BF15" s="358">
        <f t="shared" si="13"/>
        <v>0</v>
      </c>
      <c r="BG15" s="102"/>
      <c r="BH15" s="286">
        <f t="shared" si="14"/>
        <v>0</v>
      </c>
      <c r="BI15" s="296"/>
      <c r="BJ15" s="231">
        <f t="shared" si="15"/>
        <v>0</v>
      </c>
      <c r="BK15" s="296"/>
      <c r="BL15" s="231">
        <f t="shared" si="16"/>
        <v>0</v>
      </c>
      <c r="BM15" s="102"/>
      <c r="BN15" s="99"/>
      <c r="BO15" s="315"/>
      <c r="BP15" s="357"/>
      <c r="BQ15" s="358"/>
      <c r="BR15" s="359"/>
      <c r="BS15" s="358">
        <f t="shared" si="17"/>
        <v>0</v>
      </c>
      <c r="BT15" s="102"/>
      <c r="BU15" s="315"/>
      <c r="BV15" s="357"/>
      <c r="BW15" s="358"/>
      <c r="BX15" s="359"/>
      <c r="BY15" s="358">
        <f t="shared" si="18"/>
        <v>0</v>
      </c>
      <c r="BZ15" s="102"/>
      <c r="CA15" s="315"/>
      <c r="CB15" s="357"/>
      <c r="CC15" s="358"/>
      <c r="CD15" s="359"/>
      <c r="CE15" s="358">
        <f t="shared" si="19"/>
        <v>0</v>
      </c>
      <c r="CF15" s="102"/>
      <c r="CG15" s="286">
        <f t="shared" si="20"/>
        <v>0</v>
      </c>
      <c r="CH15" s="296"/>
      <c r="CI15" s="231">
        <f t="shared" si="21"/>
        <v>0</v>
      </c>
      <c r="CJ15" s="296"/>
      <c r="CK15" s="231">
        <f t="shared" si="22"/>
        <v>0</v>
      </c>
      <c r="CL15" s="102"/>
      <c r="CM15" s="100"/>
      <c r="CN15" s="315"/>
      <c r="CO15" s="357"/>
      <c r="CP15" s="358"/>
      <c r="CQ15" s="359"/>
      <c r="CR15" s="358">
        <f t="shared" si="23"/>
        <v>0</v>
      </c>
      <c r="CS15" s="102"/>
      <c r="CT15" s="315"/>
      <c r="CU15" s="357"/>
      <c r="CV15" s="358"/>
      <c r="CW15" s="359"/>
      <c r="CX15" s="358">
        <f t="shared" si="24"/>
        <v>0</v>
      </c>
      <c r="CY15" s="102"/>
      <c r="CZ15" s="315"/>
      <c r="DA15" s="357"/>
      <c r="DB15" s="358"/>
      <c r="DC15" s="359"/>
      <c r="DD15" s="358">
        <f t="shared" si="25"/>
        <v>0</v>
      </c>
      <c r="DE15" s="102"/>
      <c r="DF15" s="286">
        <f t="shared" si="26"/>
        <v>0</v>
      </c>
      <c r="DG15" s="296"/>
      <c r="DH15" s="231">
        <f t="shared" si="27"/>
        <v>0</v>
      </c>
      <c r="DI15" s="296"/>
      <c r="DJ15" s="231">
        <f t="shared" si="28"/>
        <v>0</v>
      </c>
      <c r="DK15" s="8"/>
    </row>
    <row r="16" spans="1:115" s="3" customFormat="1" ht="21.75" customHeight="1" outlineLevel="1" x14ac:dyDescent="0.25">
      <c r="A16" s="80">
        <v>7</v>
      </c>
      <c r="B16" s="750" t="s">
        <v>32</v>
      </c>
      <c r="C16" s="751"/>
      <c r="D16" s="751"/>
      <c r="E16" s="751"/>
      <c r="F16" s="751"/>
      <c r="G16" s="751"/>
      <c r="H16" s="751"/>
      <c r="I16" s="752"/>
      <c r="J16" s="230">
        <f t="shared" si="0"/>
        <v>0</v>
      </c>
      <c r="K16" s="296"/>
      <c r="L16" s="231">
        <f t="shared" si="1"/>
        <v>0</v>
      </c>
      <c r="M16" s="296"/>
      <c r="N16" s="207">
        <f t="shared" si="2"/>
        <v>0</v>
      </c>
      <c r="O16" s="45">
        <f t="shared" si="3"/>
        <v>0</v>
      </c>
      <c r="P16" s="47"/>
      <c r="Q16" s="315"/>
      <c r="R16" s="357"/>
      <c r="S16" s="358"/>
      <c r="T16" s="359"/>
      <c r="U16" s="358">
        <f t="shared" si="4"/>
        <v>0</v>
      </c>
      <c r="V16" s="102"/>
      <c r="W16" s="315"/>
      <c r="X16" s="357"/>
      <c r="Y16" s="358"/>
      <c r="Z16" s="359"/>
      <c r="AA16" s="358">
        <f t="shared" si="5"/>
        <v>0</v>
      </c>
      <c r="AB16" s="102"/>
      <c r="AC16" s="315"/>
      <c r="AD16" s="357"/>
      <c r="AE16" s="358"/>
      <c r="AF16" s="359"/>
      <c r="AG16" s="358">
        <f t="shared" si="6"/>
        <v>0</v>
      </c>
      <c r="AH16" s="103">
        <f t="shared" si="7"/>
        <v>0</v>
      </c>
      <c r="AI16" s="286">
        <f t="shared" si="8"/>
        <v>0</v>
      </c>
      <c r="AJ16" s="296"/>
      <c r="AK16" s="231">
        <f t="shared" si="9"/>
        <v>0</v>
      </c>
      <c r="AL16" s="296"/>
      <c r="AM16" s="231">
        <f t="shared" si="10"/>
        <v>0</v>
      </c>
      <c r="AN16" s="102"/>
      <c r="AO16" s="99"/>
      <c r="AP16" s="315"/>
      <c r="AQ16" s="357"/>
      <c r="AR16" s="358"/>
      <c r="AS16" s="359"/>
      <c r="AT16" s="358">
        <f t="shared" si="11"/>
        <v>0</v>
      </c>
      <c r="AU16" s="102"/>
      <c r="AV16" s="315"/>
      <c r="AW16" s="357"/>
      <c r="AX16" s="358"/>
      <c r="AY16" s="359"/>
      <c r="AZ16" s="358">
        <f t="shared" si="12"/>
        <v>0</v>
      </c>
      <c r="BA16" s="102"/>
      <c r="BB16" s="315"/>
      <c r="BC16" s="357"/>
      <c r="BD16" s="358"/>
      <c r="BE16" s="359"/>
      <c r="BF16" s="358">
        <f t="shared" si="13"/>
        <v>0</v>
      </c>
      <c r="BG16" s="102"/>
      <c r="BH16" s="286">
        <f t="shared" si="14"/>
        <v>0</v>
      </c>
      <c r="BI16" s="296"/>
      <c r="BJ16" s="231">
        <f t="shared" si="15"/>
        <v>0</v>
      </c>
      <c r="BK16" s="296"/>
      <c r="BL16" s="231">
        <f t="shared" si="16"/>
        <v>0</v>
      </c>
      <c r="BM16" s="102"/>
      <c r="BN16" s="99"/>
      <c r="BO16" s="315"/>
      <c r="BP16" s="357"/>
      <c r="BQ16" s="358"/>
      <c r="BR16" s="359"/>
      <c r="BS16" s="358">
        <f t="shared" si="17"/>
        <v>0</v>
      </c>
      <c r="BT16" s="102"/>
      <c r="BU16" s="315"/>
      <c r="BV16" s="357"/>
      <c r="BW16" s="358"/>
      <c r="BX16" s="359"/>
      <c r="BY16" s="358">
        <f t="shared" si="18"/>
        <v>0</v>
      </c>
      <c r="BZ16" s="102"/>
      <c r="CA16" s="315"/>
      <c r="CB16" s="357"/>
      <c r="CC16" s="358"/>
      <c r="CD16" s="359"/>
      <c r="CE16" s="358">
        <f t="shared" si="19"/>
        <v>0</v>
      </c>
      <c r="CF16" s="102"/>
      <c r="CG16" s="286">
        <f t="shared" si="20"/>
        <v>0</v>
      </c>
      <c r="CH16" s="296"/>
      <c r="CI16" s="231">
        <f t="shared" si="21"/>
        <v>0</v>
      </c>
      <c r="CJ16" s="296"/>
      <c r="CK16" s="231">
        <f t="shared" si="22"/>
        <v>0</v>
      </c>
      <c r="CL16" s="102"/>
      <c r="CM16" s="100"/>
      <c r="CN16" s="315"/>
      <c r="CO16" s="357"/>
      <c r="CP16" s="358"/>
      <c r="CQ16" s="359"/>
      <c r="CR16" s="358">
        <f t="shared" si="23"/>
        <v>0</v>
      </c>
      <c r="CS16" s="102"/>
      <c r="CT16" s="315"/>
      <c r="CU16" s="357"/>
      <c r="CV16" s="358"/>
      <c r="CW16" s="359"/>
      <c r="CX16" s="358">
        <f t="shared" si="24"/>
        <v>0</v>
      </c>
      <c r="CY16" s="102"/>
      <c r="CZ16" s="315"/>
      <c r="DA16" s="357"/>
      <c r="DB16" s="358"/>
      <c r="DC16" s="359"/>
      <c r="DD16" s="358">
        <f t="shared" si="25"/>
        <v>0</v>
      </c>
      <c r="DE16" s="102"/>
      <c r="DF16" s="286">
        <f t="shared" si="26"/>
        <v>0</v>
      </c>
      <c r="DG16" s="296"/>
      <c r="DH16" s="231">
        <f t="shared" si="27"/>
        <v>0</v>
      </c>
      <c r="DI16" s="296"/>
      <c r="DJ16" s="231">
        <f t="shared" si="28"/>
        <v>0</v>
      </c>
      <c r="DK16" s="8"/>
    </row>
    <row r="17" spans="1:115" s="3" customFormat="1" ht="21.75" customHeight="1" outlineLevel="1" x14ac:dyDescent="0.25">
      <c r="A17" s="80">
        <v>8</v>
      </c>
      <c r="B17" s="83" t="s">
        <v>33</v>
      </c>
      <c r="C17" s="753" t="s">
        <v>34</v>
      </c>
      <c r="D17" s="754"/>
      <c r="E17" s="754"/>
      <c r="F17" s="754"/>
      <c r="G17" s="754"/>
      <c r="H17" s="754"/>
      <c r="I17" s="755"/>
      <c r="J17" s="230">
        <f t="shared" si="0"/>
        <v>0</v>
      </c>
      <c r="K17" s="296"/>
      <c r="L17" s="231">
        <f t="shared" si="1"/>
        <v>0</v>
      </c>
      <c r="M17" s="296"/>
      <c r="N17" s="207">
        <f t="shared" si="2"/>
        <v>0</v>
      </c>
      <c r="O17" s="45">
        <f t="shared" si="3"/>
        <v>0</v>
      </c>
      <c r="P17" s="47"/>
      <c r="Q17" s="315"/>
      <c r="R17" s="357"/>
      <c r="S17" s="358"/>
      <c r="T17" s="359"/>
      <c r="U17" s="358">
        <f t="shared" si="4"/>
        <v>0</v>
      </c>
      <c r="V17" s="102"/>
      <c r="W17" s="315"/>
      <c r="X17" s="357"/>
      <c r="Y17" s="358"/>
      <c r="Z17" s="359"/>
      <c r="AA17" s="358">
        <f t="shared" si="5"/>
        <v>0</v>
      </c>
      <c r="AB17" s="102"/>
      <c r="AC17" s="315"/>
      <c r="AD17" s="357"/>
      <c r="AE17" s="358"/>
      <c r="AF17" s="359"/>
      <c r="AG17" s="358">
        <f t="shared" si="6"/>
        <v>0</v>
      </c>
      <c r="AH17" s="103">
        <f t="shared" si="7"/>
        <v>0</v>
      </c>
      <c r="AI17" s="286">
        <f t="shared" si="8"/>
        <v>0</v>
      </c>
      <c r="AJ17" s="296"/>
      <c r="AK17" s="231">
        <f t="shared" si="9"/>
        <v>0</v>
      </c>
      <c r="AL17" s="296"/>
      <c r="AM17" s="231">
        <f t="shared" si="10"/>
        <v>0</v>
      </c>
      <c r="AN17" s="102"/>
      <c r="AO17" s="99"/>
      <c r="AP17" s="315"/>
      <c r="AQ17" s="357"/>
      <c r="AR17" s="358"/>
      <c r="AS17" s="359"/>
      <c r="AT17" s="358">
        <f t="shared" si="11"/>
        <v>0</v>
      </c>
      <c r="AU17" s="102"/>
      <c r="AV17" s="315"/>
      <c r="AW17" s="357"/>
      <c r="AX17" s="358"/>
      <c r="AY17" s="359"/>
      <c r="AZ17" s="358">
        <f t="shared" si="12"/>
        <v>0</v>
      </c>
      <c r="BA17" s="102"/>
      <c r="BB17" s="315"/>
      <c r="BC17" s="357"/>
      <c r="BD17" s="358"/>
      <c r="BE17" s="359"/>
      <c r="BF17" s="358">
        <f t="shared" si="13"/>
        <v>0</v>
      </c>
      <c r="BG17" s="102"/>
      <c r="BH17" s="286">
        <f t="shared" si="14"/>
        <v>0</v>
      </c>
      <c r="BI17" s="296"/>
      <c r="BJ17" s="231">
        <f t="shared" si="15"/>
        <v>0</v>
      </c>
      <c r="BK17" s="296"/>
      <c r="BL17" s="231">
        <f t="shared" si="16"/>
        <v>0</v>
      </c>
      <c r="BM17" s="102"/>
      <c r="BN17" s="99"/>
      <c r="BO17" s="315"/>
      <c r="BP17" s="357"/>
      <c r="BQ17" s="358"/>
      <c r="BR17" s="359"/>
      <c r="BS17" s="358">
        <f t="shared" si="17"/>
        <v>0</v>
      </c>
      <c r="BT17" s="102"/>
      <c r="BU17" s="315"/>
      <c r="BV17" s="357"/>
      <c r="BW17" s="358"/>
      <c r="BX17" s="359"/>
      <c r="BY17" s="358">
        <f t="shared" si="18"/>
        <v>0</v>
      </c>
      <c r="BZ17" s="102"/>
      <c r="CA17" s="315"/>
      <c r="CB17" s="357"/>
      <c r="CC17" s="358"/>
      <c r="CD17" s="359"/>
      <c r="CE17" s="358">
        <f t="shared" si="19"/>
        <v>0</v>
      </c>
      <c r="CF17" s="102"/>
      <c r="CG17" s="286">
        <f t="shared" si="20"/>
        <v>0</v>
      </c>
      <c r="CH17" s="296"/>
      <c r="CI17" s="231">
        <f t="shared" si="21"/>
        <v>0</v>
      </c>
      <c r="CJ17" s="296"/>
      <c r="CK17" s="231">
        <f t="shared" si="22"/>
        <v>0</v>
      </c>
      <c r="CL17" s="102"/>
      <c r="CM17" s="100"/>
      <c r="CN17" s="315"/>
      <c r="CO17" s="357"/>
      <c r="CP17" s="358"/>
      <c r="CQ17" s="359"/>
      <c r="CR17" s="358">
        <f t="shared" si="23"/>
        <v>0</v>
      </c>
      <c r="CS17" s="102"/>
      <c r="CT17" s="315"/>
      <c r="CU17" s="357"/>
      <c r="CV17" s="358"/>
      <c r="CW17" s="359"/>
      <c r="CX17" s="358">
        <f t="shared" si="24"/>
        <v>0</v>
      </c>
      <c r="CY17" s="102"/>
      <c r="CZ17" s="315"/>
      <c r="DA17" s="357"/>
      <c r="DB17" s="358"/>
      <c r="DC17" s="359"/>
      <c r="DD17" s="358">
        <f t="shared" si="25"/>
        <v>0</v>
      </c>
      <c r="DE17" s="102"/>
      <c r="DF17" s="286">
        <f t="shared" si="26"/>
        <v>0</v>
      </c>
      <c r="DG17" s="296"/>
      <c r="DH17" s="231">
        <f t="shared" si="27"/>
        <v>0</v>
      </c>
      <c r="DI17" s="296"/>
      <c r="DJ17" s="231">
        <f t="shared" si="28"/>
        <v>0</v>
      </c>
      <c r="DK17" s="8"/>
    </row>
    <row r="18" spans="1:115" s="3" customFormat="1" ht="21.75" customHeight="1" outlineLevel="1" x14ac:dyDescent="0.25">
      <c r="A18" s="80">
        <v>9</v>
      </c>
      <c r="B18" s="729" t="s">
        <v>35</v>
      </c>
      <c r="C18" s="730"/>
      <c r="D18" s="730"/>
      <c r="E18" s="730"/>
      <c r="F18" s="730"/>
      <c r="G18" s="730"/>
      <c r="H18" s="730"/>
      <c r="I18" s="731"/>
      <c r="J18" s="230">
        <f t="shared" si="0"/>
        <v>0</v>
      </c>
      <c r="K18" s="296"/>
      <c r="L18" s="231">
        <f t="shared" si="1"/>
        <v>0</v>
      </c>
      <c r="M18" s="296"/>
      <c r="N18" s="207">
        <f t="shared" si="2"/>
        <v>0</v>
      </c>
      <c r="O18" s="45">
        <f t="shared" si="3"/>
        <v>0</v>
      </c>
      <c r="P18" s="47"/>
      <c r="Q18" s="315"/>
      <c r="R18" s="357"/>
      <c r="S18" s="358"/>
      <c r="T18" s="359"/>
      <c r="U18" s="358">
        <f t="shared" si="4"/>
        <v>0</v>
      </c>
      <c r="V18" s="102"/>
      <c r="W18" s="315"/>
      <c r="X18" s="357"/>
      <c r="Y18" s="358"/>
      <c r="Z18" s="359"/>
      <c r="AA18" s="358">
        <f t="shared" si="5"/>
        <v>0</v>
      </c>
      <c r="AB18" s="102"/>
      <c r="AC18" s="315"/>
      <c r="AD18" s="357"/>
      <c r="AE18" s="358"/>
      <c r="AF18" s="359"/>
      <c r="AG18" s="358">
        <f t="shared" si="6"/>
        <v>0</v>
      </c>
      <c r="AH18" s="103">
        <f t="shared" si="7"/>
        <v>0</v>
      </c>
      <c r="AI18" s="286">
        <f t="shared" si="8"/>
        <v>0</v>
      </c>
      <c r="AJ18" s="296"/>
      <c r="AK18" s="231">
        <f t="shared" si="9"/>
        <v>0</v>
      </c>
      <c r="AL18" s="296"/>
      <c r="AM18" s="231">
        <f t="shared" si="10"/>
        <v>0</v>
      </c>
      <c r="AN18" s="102"/>
      <c r="AO18" s="99"/>
      <c r="AP18" s="315"/>
      <c r="AQ18" s="357"/>
      <c r="AR18" s="358"/>
      <c r="AS18" s="359"/>
      <c r="AT18" s="358">
        <f t="shared" si="11"/>
        <v>0</v>
      </c>
      <c r="AU18" s="102"/>
      <c r="AV18" s="315"/>
      <c r="AW18" s="357"/>
      <c r="AX18" s="358"/>
      <c r="AY18" s="359"/>
      <c r="AZ18" s="358">
        <f t="shared" si="12"/>
        <v>0</v>
      </c>
      <c r="BA18" s="102"/>
      <c r="BB18" s="315"/>
      <c r="BC18" s="357"/>
      <c r="BD18" s="358"/>
      <c r="BE18" s="359"/>
      <c r="BF18" s="358">
        <f t="shared" si="13"/>
        <v>0</v>
      </c>
      <c r="BG18" s="102"/>
      <c r="BH18" s="286">
        <f t="shared" si="14"/>
        <v>0</v>
      </c>
      <c r="BI18" s="296"/>
      <c r="BJ18" s="231">
        <f t="shared" si="15"/>
        <v>0</v>
      </c>
      <c r="BK18" s="296"/>
      <c r="BL18" s="231">
        <f t="shared" si="16"/>
        <v>0</v>
      </c>
      <c r="BM18" s="102"/>
      <c r="BN18" s="99"/>
      <c r="BO18" s="315"/>
      <c r="BP18" s="357"/>
      <c r="BQ18" s="358"/>
      <c r="BR18" s="359"/>
      <c r="BS18" s="358">
        <f t="shared" si="17"/>
        <v>0</v>
      </c>
      <c r="BT18" s="102"/>
      <c r="BU18" s="315"/>
      <c r="BV18" s="357"/>
      <c r="BW18" s="358"/>
      <c r="BX18" s="359"/>
      <c r="BY18" s="358">
        <f t="shared" si="18"/>
        <v>0</v>
      </c>
      <c r="BZ18" s="102"/>
      <c r="CA18" s="315"/>
      <c r="CB18" s="357"/>
      <c r="CC18" s="358"/>
      <c r="CD18" s="359"/>
      <c r="CE18" s="358">
        <f t="shared" si="19"/>
        <v>0</v>
      </c>
      <c r="CF18" s="102"/>
      <c r="CG18" s="286">
        <f t="shared" si="20"/>
        <v>0</v>
      </c>
      <c r="CH18" s="296"/>
      <c r="CI18" s="231">
        <f t="shared" si="21"/>
        <v>0</v>
      </c>
      <c r="CJ18" s="296"/>
      <c r="CK18" s="231">
        <f t="shared" si="22"/>
        <v>0</v>
      </c>
      <c r="CL18" s="102"/>
      <c r="CM18" s="100"/>
      <c r="CN18" s="315"/>
      <c r="CO18" s="357"/>
      <c r="CP18" s="358"/>
      <c r="CQ18" s="359"/>
      <c r="CR18" s="358">
        <f t="shared" si="23"/>
        <v>0</v>
      </c>
      <c r="CS18" s="102"/>
      <c r="CT18" s="315"/>
      <c r="CU18" s="357"/>
      <c r="CV18" s="358"/>
      <c r="CW18" s="359"/>
      <c r="CX18" s="358">
        <f t="shared" si="24"/>
        <v>0</v>
      </c>
      <c r="CY18" s="102"/>
      <c r="CZ18" s="315"/>
      <c r="DA18" s="357"/>
      <c r="DB18" s="358"/>
      <c r="DC18" s="359"/>
      <c r="DD18" s="358">
        <f t="shared" si="25"/>
        <v>0</v>
      </c>
      <c r="DE18" s="102"/>
      <c r="DF18" s="286">
        <f t="shared" si="26"/>
        <v>0</v>
      </c>
      <c r="DG18" s="296"/>
      <c r="DH18" s="231">
        <f t="shared" si="27"/>
        <v>0</v>
      </c>
      <c r="DI18" s="296"/>
      <c r="DJ18" s="231">
        <f t="shared" si="28"/>
        <v>0</v>
      </c>
      <c r="DK18" s="8"/>
    </row>
    <row r="19" spans="1:115" s="3" customFormat="1" ht="21.75" customHeight="1" outlineLevel="1" thickBot="1" x14ac:dyDescent="0.3">
      <c r="A19" s="80">
        <v>10</v>
      </c>
      <c r="B19" s="756" t="s">
        <v>36</v>
      </c>
      <c r="C19" s="757"/>
      <c r="D19" s="757"/>
      <c r="E19" s="757"/>
      <c r="F19" s="757"/>
      <c r="G19" s="757"/>
      <c r="H19" s="757"/>
      <c r="I19" s="758"/>
      <c r="J19" s="232">
        <f t="shared" si="0"/>
        <v>0</v>
      </c>
      <c r="K19" s="297"/>
      <c r="L19" s="233">
        <f t="shared" si="1"/>
        <v>0</v>
      </c>
      <c r="M19" s="297"/>
      <c r="N19" s="208">
        <f t="shared" si="2"/>
        <v>0</v>
      </c>
      <c r="O19" s="48">
        <f t="shared" si="3"/>
        <v>0</v>
      </c>
      <c r="P19" s="47"/>
      <c r="Q19" s="507"/>
      <c r="R19" s="360"/>
      <c r="S19" s="361"/>
      <c r="T19" s="362"/>
      <c r="U19" s="361">
        <f t="shared" si="4"/>
        <v>0</v>
      </c>
      <c r="V19" s="106"/>
      <c r="W19" s="507"/>
      <c r="X19" s="360"/>
      <c r="Y19" s="361"/>
      <c r="Z19" s="362"/>
      <c r="AA19" s="361">
        <f t="shared" si="5"/>
        <v>0</v>
      </c>
      <c r="AB19" s="106"/>
      <c r="AC19" s="507"/>
      <c r="AD19" s="360"/>
      <c r="AE19" s="361"/>
      <c r="AF19" s="362"/>
      <c r="AG19" s="361">
        <f t="shared" si="6"/>
        <v>0</v>
      </c>
      <c r="AH19" s="107">
        <f t="shared" si="7"/>
        <v>0</v>
      </c>
      <c r="AI19" s="287">
        <f t="shared" si="8"/>
        <v>0</v>
      </c>
      <c r="AJ19" s="297"/>
      <c r="AK19" s="233">
        <f t="shared" si="9"/>
        <v>0</v>
      </c>
      <c r="AL19" s="297"/>
      <c r="AM19" s="233">
        <f t="shared" si="10"/>
        <v>0</v>
      </c>
      <c r="AN19" s="106"/>
      <c r="AO19" s="99"/>
      <c r="AP19" s="507"/>
      <c r="AQ19" s="360"/>
      <c r="AR19" s="361"/>
      <c r="AS19" s="362"/>
      <c r="AT19" s="361">
        <f t="shared" si="11"/>
        <v>0</v>
      </c>
      <c r="AU19" s="106"/>
      <c r="AV19" s="507"/>
      <c r="AW19" s="360"/>
      <c r="AX19" s="361"/>
      <c r="AY19" s="362"/>
      <c r="AZ19" s="361">
        <f t="shared" si="12"/>
        <v>0</v>
      </c>
      <c r="BA19" s="106"/>
      <c r="BB19" s="507"/>
      <c r="BC19" s="360"/>
      <c r="BD19" s="361"/>
      <c r="BE19" s="362"/>
      <c r="BF19" s="361">
        <f t="shared" si="13"/>
        <v>0</v>
      </c>
      <c r="BG19" s="106"/>
      <c r="BH19" s="287">
        <f t="shared" si="14"/>
        <v>0</v>
      </c>
      <c r="BI19" s="297"/>
      <c r="BJ19" s="233">
        <f t="shared" si="15"/>
        <v>0</v>
      </c>
      <c r="BK19" s="297"/>
      <c r="BL19" s="233">
        <f t="shared" si="16"/>
        <v>0</v>
      </c>
      <c r="BM19" s="106"/>
      <c r="BN19" s="99"/>
      <c r="BO19" s="507"/>
      <c r="BP19" s="360"/>
      <c r="BQ19" s="361"/>
      <c r="BR19" s="362"/>
      <c r="BS19" s="361">
        <f t="shared" si="17"/>
        <v>0</v>
      </c>
      <c r="BT19" s="106"/>
      <c r="BU19" s="507"/>
      <c r="BV19" s="360"/>
      <c r="BW19" s="361"/>
      <c r="BX19" s="362"/>
      <c r="BY19" s="361">
        <f t="shared" si="18"/>
        <v>0</v>
      </c>
      <c r="BZ19" s="106"/>
      <c r="CA19" s="507"/>
      <c r="CB19" s="360"/>
      <c r="CC19" s="361"/>
      <c r="CD19" s="362"/>
      <c r="CE19" s="361">
        <f t="shared" si="19"/>
        <v>0</v>
      </c>
      <c r="CF19" s="106"/>
      <c r="CG19" s="287">
        <f t="shared" si="20"/>
        <v>0</v>
      </c>
      <c r="CH19" s="297"/>
      <c r="CI19" s="233">
        <f t="shared" si="21"/>
        <v>0</v>
      </c>
      <c r="CJ19" s="297"/>
      <c r="CK19" s="233">
        <f t="shared" si="22"/>
        <v>0</v>
      </c>
      <c r="CL19" s="106"/>
      <c r="CM19" s="100"/>
      <c r="CN19" s="507"/>
      <c r="CO19" s="360"/>
      <c r="CP19" s="361"/>
      <c r="CQ19" s="362"/>
      <c r="CR19" s="361">
        <f t="shared" si="23"/>
        <v>0</v>
      </c>
      <c r="CS19" s="106"/>
      <c r="CT19" s="507"/>
      <c r="CU19" s="360"/>
      <c r="CV19" s="361"/>
      <c r="CW19" s="362"/>
      <c r="CX19" s="361">
        <f t="shared" si="24"/>
        <v>0</v>
      </c>
      <c r="CY19" s="106"/>
      <c r="CZ19" s="507"/>
      <c r="DA19" s="360"/>
      <c r="DB19" s="361"/>
      <c r="DC19" s="362"/>
      <c r="DD19" s="361">
        <f t="shared" si="25"/>
        <v>0</v>
      </c>
      <c r="DE19" s="106"/>
      <c r="DF19" s="287">
        <f t="shared" si="26"/>
        <v>0</v>
      </c>
      <c r="DG19" s="297"/>
      <c r="DH19" s="233">
        <f t="shared" si="27"/>
        <v>0</v>
      </c>
      <c r="DI19" s="297"/>
      <c r="DJ19" s="233">
        <f t="shared" si="28"/>
        <v>0</v>
      </c>
      <c r="DK19" s="9"/>
    </row>
    <row r="20" spans="1:115" s="3" customFormat="1" ht="21.75" customHeight="1" outlineLevel="1" x14ac:dyDescent="0.25">
      <c r="A20" s="80">
        <v>11</v>
      </c>
      <c r="B20" s="617" t="s">
        <v>37</v>
      </c>
      <c r="C20" s="760" t="s">
        <v>38</v>
      </c>
      <c r="D20" s="762" t="s">
        <v>161</v>
      </c>
      <c r="E20" s="765" t="s">
        <v>39</v>
      </c>
      <c r="F20" s="766"/>
      <c r="G20" s="766"/>
      <c r="H20" s="766"/>
      <c r="I20" s="767"/>
      <c r="J20" s="228">
        <f t="shared" si="0"/>
        <v>0</v>
      </c>
      <c r="K20" s="295"/>
      <c r="L20" s="229">
        <f t="shared" si="1"/>
        <v>0</v>
      </c>
      <c r="M20" s="295"/>
      <c r="N20" s="206">
        <f t="shared" si="2"/>
        <v>0</v>
      </c>
      <c r="O20" s="43">
        <f t="shared" si="3"/>
        <v>0</v>
      </c>
      <c r="P20" s="47"/>
      <c r="Q20" s="508"/>
      <c r="R20" s="509"/>
      <c r="S20" s="355"/>
      <c r="T20" s="356"/>
      <c r="U20" s="355">
        <f t="shared" si="4"/>
        <v>0</v>
      </c>
      <c r="V20" s="96"/>
      <c r="W20" s="508"/>
      <c r="X20" s="509"/>
      <c r="Y20" s="355"/>
      <c r="Z20" s="356"/>
      <c r="AA20" s="355">
        <f t="shared" si="5"/>
        <v>0</v>
      </c>
      <c r="AB20" s="96"/>
      <c r="AC20" s="508"/>
      <c r="AD20" s="509"/>
      <c r="AE20" s="355"/>
      <c r="AF20" s="356"/>
      <c r="AG20" s="355">
        <f t="shared" si="6"/>
        <v>0</v>
      </c>
      <c r="AH20" s="97">
        <f t="shared" si="7"/>
        <v>0</v>
      </c>
      <c r="AI20" s="285">
        <f t="shared" si="8"/>
        <v>0</v>
      </c>
      <c r="AJ20" s="295"/>
      <c r="AK20" s="229">
        <f t="shared" si="9"/>
        <v>0</v>
      </c>
      <c r="AL20" s="295"/>
      <c r="AM20" s="229">
        <f t="shared" si="10"/>
        <v>0</v>
      </c>
      <c r="AN20" s="96"/>
      <c r="AO20" s="99"/>
      <c r="AP20" s="508"/>
      <c r="AQ20" s="509"/>
      <c r="AR20" s="355"/>
      <c r="AS20" s="356"/>
      <c r="AT20" s="355">
        <f t="shared" si="11"/>
        <v>0</v>
      </c>
      <c r="AU20" s="96"/>
      <c r="AV20" s="508"/>
      <c r="AW20" s="509"/>
      <c r="AX20" s="355"/>
      <c r="AY20" s="356"/>
      <c r="AZ20" s="355">
        <f t="shared" si="12"/>
        <v>0</v>
      </c>
      <c r="BA20" s="96"/>
      <c r="BB20" s="508"/>
      <c r="BC20" s="509"/>
      <c r="BD20" s="355"/>
      <c r="BE20" s="356"/>
      <c r="BF20" s="355">
        <f t="shared" si="13"/>
        <v>0</v>
      </c>
      <c r="BG20" s="96"/>
      <c r="BH20" s="285">
        <f t="shared" si="14"/>
        <v>0</v>
      </c>
      <c r="BI20" s="295"/>
      <c r="BJ20" s="229">
        <f t="shared" si="15"/>
        <v>0</v>
      </c>
      <c r="BK20" s="295"/>
      <c r="BL20" s="229">
        <f t="shared" si="16"/>
        <v>0</v>
      </c>
      <c r="BM20" s="96"/>
      <c r="BN20" s="99"/>
      <c r="BO20" s="508"/>
      <c r="BP20" s="509"/>
      <c r="BQ20" s="355"/>
      <c r="BR20" s="356"/>
      <c r="BS20" s="355">
        <f t="shared" si="17"/>
        <v>0</v>
      </c>
      <c r="BT20" s="96"/>
      <c r="BU20" s="508"/>
      <c r="BV20" s="509"/>
      <c r="BW20" s="355"/>
      <c r="BX20" s="356"/>
      <c r="BY20" s="355">
        <f t="shared" si="18"/>
        <v>0</v>
      </c>
      <c r="BZ20" s="96"/>
      <c r="CA20" s="508"/>
      <c r="CB20" s="509"/>
      <c r="CC20" s="355"/>
      <c r="CD20" s="356"/>
      <c r="CE20" s="355">
        <f t="shared" si="19"/>
        <v>0</v>
      </c>
      <c r="CF20" s="96"/>
      <c r="CG20" s="285">
        <f t="shared" si="20"/>
        <v>0</v>
      </c>
      <c r="CH20" s="295"/>
      <c r="CI20" s="229">
        <f t="shared" si="21"/>
        <v>0</v>
      </c>
      <c r="CJ20" s="295"/>
      <c r="CK20" s="229">
        <f t="shared" si="22"/>
        <v>0</v>
      </c>
      <c r="CL20" s="96"/>
      <c r="CM20" s="100"/>
      <c r="CN20" s="508"/>
      <c r="CO20" s="509"/>
      <c r="CP20" s="355"/>
      <c r="CQ20" s="356"/>
      <c r="CR20" s="355">
        <f t="shared" si="23"/>
        <v>0</v>
      </c>
      <c r="CS20" s="96"/>
      <c r="CT20" s="508"/>
      <c r="CU20" s="509"/>
      <c r="CV20" s="355"/>
      <c r="CW20" s="356"/>
      <c r="CX20" s="355">
        <f t="shared" si="24"/>
        <v>0</v>
      </c>
      <c r="CY20" s="96"/>
      <c r="CZ20" s="508"/>
      <c r="DA20" s="509"/>
      <c r="DB20" s="355"/>
      <c r="DC20" s="356"/>
      <c r="DD20" s="355">
        <f t="shared" si="25"/>
        <v>0</v>
      </c>
      <c r="DE20" s="96"/>
      <c r="DF20" s="285">
        <f t="shared" si="26"/>
        <v>0</v>
      </c>
      <c r="DG20" s="295"/>
      <c r="DH20" s="229">
        <f t="shared" si="27"/>
        <v>0</v>
      </c>
      <c r="DI20" s="295"/>
      <c r="DJ20" s="229">
        <f t="shared" si="28"/>
        <v>0</v>
      </c>
      <c r="DK20" s="7"/>
    </row>
    <row r="21" spans="1:115" s="3" customFormat="1" ht="21.75" customHeight="1" outlineLevel="1" thickBot="1" x14ac:dyDescent="0.3">
      <c r="A21" s="80">
        <v>12</v>
      </c>
      <c r="B21" s="618"/>
      <c r="C21" s="761"/>
      <c r="D21" s="763"/>
      <c r="E21" s="640" t="s">
        <v>40</v>
      </c>
      <c r="F21" s="641"/>
      <c r="G21" s="641"/>
      <c r="H21" s="641"/>
      <c r="I21" s="732"/>
      <c r="J21" s="236">
        <f t="shared" si="0"/>
        <v>0</v>
      </c>
      <c r="K21" s="299"/>
      <c r="L21" s="237">
        <f t="shared" si="1"/>
        <v>0</v>
      </c>
      <c r="M21" s="299"/>
      <c r="N21" s="210">
        <f t="shared" si="2"/>
        <v>0</v>
      </c>
      <c r="O21" s="45">
        <f t="shared" si="3"/>
        <v>0</v>
      </c>
      <c r="P21" s="47"/>
      <c r="Q21" s="510"/>
      <c r="R21" s="511"/>
      <c r="S21" s="367"/>
      <c r="T21" s="368"/>
      <c r="U21" s="367">
        <f t="shared" si="4"/>
        <v>0</v>
      </c>
      <c r="V21" s="110"/>
      <c r="W21" s="510"/>
      <c r="X21" s="511"/>
      <c r="Y21" s="367"/>
      <c r="Z21" s="368"/>
      <c r="AA21" s="367">
        <f t="shared" si="5"/>
        <v>0</v>
      </c>
      <c r="AB21" s="110"/>
      <c r="AC21" s="510"/>
      <c r="AD21" s="511"/>
      <c r="AE21" s="367"/>
      <c r="AF21" s="368"/>
      <c r="AG21" s="367">
        <f t="shared" si="6"/>
        <v>0</v>
      </c>
      <c r="AH21" s="111">
        <f t="shared" si="7"/>
        <v>0</v>
      </c>
      <c r="AI21" s="289">
        <f t="shared" si="8"/>
        <v>0</v>
      </c>
      <c r="AJ21" s="299"/>
      <c r="AK21" s="237">
        <f t="shared" si="9"/>
        <v>0</v>
      </c>
      <c r="AL21" s="299"/>
      <c r="AM21" s="237">
        <f t="shared" si="10"/>
        <v>0</v>
      </c>
      <c r="AN21" s="110"/>
      <c r="AO21" s="99"/>
      <c r="AP21" s="510"/>
      <c r="AQ21" s="511"/>
      <c r="AR21" s="367"/>
      <c r="AS21" s="368"/>
      <c r="AT21" s="367">
        <f t="shared" si="11"/>
        <v>0</v>
      </c>
      <c r="AU21" s="110"/>
      <c r="AV21" s="510"/>
      <c r="AW21" s="511"/>
      <c r="AX21" s="367"/>
      <c r="AY21" s="368"/>
      <c r="AZ21" s="367">
        <f t="shared" si="12"/>
        <v>0</v>
      </c>
      <c r="BA21" s="110"/>
      <c r="BB21" s="510"/>
      <c r="BC21" s="511"/>
      <c r="BD21" s="367"/>
      <c r="BE21" s="368"/>
      <c r="BF21" s="367">
        <f t="shared" si="13"/>
        <v>0</v>
      </c>
      <c r="BG21" s="110"/>
      <c r="BH21" s="289">
        <f t="shared" si="14"/>
        <v>0</v>
      </c>
      <c r="BI21" s="299"/>
      <c r="BJ21" s="237">
        <f t="shared" si="15"/>
        <v>0</v>
      </c>
      <c r="BK21" s="299"/>
      <c r="BL21" s="237">
        <f t="shared" si="16"/>
        <v>0</v>
      </c>
      <c r="BM21" s="110"/>
      <c r="BN21" s="99"/>
      <c r="BO21" s="510"/>
      <c r="BP21" s="511"/>
      <c r="BQ21" s="367"/>
      <c r="BR21" s="368"/>
      <c r="BS21" s="367">
        <f t="shared" si="17"/>
        <v>0</v>
      </c>
      <c r="BT21" s="110"/>
      <c r="BU21" s="510"/>
      <c r="BV21" s="511"/>
      <c r="BW21" s="367"/>
      <c r="BX21" s="368"/>
      <c r="BY21" s="367">
        <f t="shared" si="18"/>
        <v>0</v>
      </c>
      <c r="BZ21" s="110"/>
      <c r="CA21" s="510"/>
      <c r="CB21" s="511"/>
      <c r="CC21" s="367"/>
      <c r="CD21" s="368"/>
      <c r="CE21" s="367">
        <f t="shared" si="19"/>
        <v>0</v>
      </c>
      <c r="CF21" s="110"/>
      <c r="CG21" s="289">
        <f t="shared" si="20"/>
        <v>0</v>
      </c>
      <c r="CH21" s="299"/>
      <c r="CI21" s="237">
        <f t="shared" si="21"/>
        <v>0</v>
      </c>
      <c r="CJ21" s="299"/>
      <c r="CK21" s="237">
        <f t="shared" si="22"/>
        <v>0</v>
      </c>
      <c r="CL21" s="110"/>
      <c r="CM21" s="100"/>
      <c r="CN21" s="510"/>
      <c r="CO21" s="511"/>
      <c r="CP21" s="367"/>
      <c r="CQ21" s="368"/>
      <c r="CR21" s="367">
        <f t="shared" si="23"/>
        <v>0</v>
      </c>
      <c r="CS21" s="110"/>
      <c r="CT21" s="510"/>
      <c r="CU21" s="511"/>
      <c r="CV21" s="367"/>
      <c r="CW21" s="368"/>
      <c r="CX21" s="367">
        <f t="shared" si="24"/>
        <v>0</v>
      </c>
      <c r="CY21" s="110"/>
      <c r="CZ21" s="510"/>
      <c r="DA21" s="511"/>
      <c r="DB21" s="367"/>
      <c r="DC21" s="368"/>
      <c r="DD21" s="367">
        <f t="shared" si="25"/>
        <v>0</v>
      </c>
      <c r="DE21" s="110"/>
      <c r="DF21" s="289">
        <f t="shared" si="26"/>
        <v>0</v>
      </c>
      <c r="DG21" s="299"/>
      <c r="DH21" s="237">
        <f t="shared" si="27"/>
        <v>0</v>
      </c>
      <c r="DI21" s="299"/>
      <c r="DJ21" s="237">
        <f t="shared" si="28"/>
        <v>0</v>
      </c>
      <c r="DK21" s="11"/>
    </row>
    <row r="22" spans="1:115" s="3" customFormat="1" ht="21.75" customHeight="1" outlineLevel="1" thickTop="1" x14ac:dyDescent="0.25">
      <c r="A22" s="80">
        <v>13</v>
      </c>
      <c r="B22" s="618"/>
      <c r="C22" s="761"/>
      <c r="D22" s="763"/>
      <c r="E22" s="309"/>
      <c r="F22" s="685" t="s">
        <v>163</v>
      </c>
      <c r="G22" s="641"/>
      <c r="H22" s="641"/>
      <c r="I22" s="732"/>
      <c r="J22" s="236">
        <f t="shared" si="0"/>
        <v>0</v>
      </c>
      <c r="K22" s="312" t="str">
        <f>IF(ISERROR(J22/J21),"",J22/J21)</f>
        <v/>
      </c>
      <c r="L22" s="237">
        <f t="shared" si="1"/>
        <v>0</v>
      </c>
      <c r="M22" s="312" t="str">
        <f>IF(ISERROR(L22/L21),"",L22/L21)</f>
        <v/>
      </c>
      <c r="N22" s="210">
        <f t="shared" si="2"/>
        <v>0</v>
      </c>
      <c r="O22" s="45" t="e">
        <f t="shared" si="3"/>
        <v>#VALUE!</v>
      </c>
      <c r="P22" s="47"/>
      <c r="Q22" s="512">
        <f>IF(ISERROR(R22*Q21),"",R22*Q21)</f>
        <v>0</v>
      </c>
      <c r="R22" s="513"/>
      <c r="S22" s="369"/>
      <c r="T22" s="370" t="str">
        <f>IF(ISERROR(S22/S21),"",S22/S21)</f>
        <v/>
      </c>
      <c r="U22" s="367">
        <f t="shared" si="4"/>
        <v>0</v>
      </c>
      <c r="V22" s="110"/>
      <c r="W22" s="512">
        <f>IF(ISERROR(X22*W21),"",X22*W21)</f>
        <v>0</v>
      </c>
      <c r="X22" s="513"/>
      <c r="Y22" s="369"/>
      <c r="Z22" s="370" t="str">
        <f>IF(ISERROR(Y22/Y21),"",Y22/Y21)</f>
        <v/>
      </c>
      <c r="AA22" s="367">
        <f t="shared" si="5"/>
        <v>0</v>
      </c>
      <c r="AB22" s="110"/>
      <c r="AC22" s="512">
        <f>IF(ISERROR(AD22*AC21),"",AD22*AC21)</f>
        <v>0</v>
      </c>
      <c r="AD22" s="513"/>
      <c r="AE22" s="369"/>
      <c r="AF22" s="370" t="str">
        <f>IF(ISERROR(AE22/AE21),"",AE22/AE21)</f>
        <v/>
      </c>
      <c r="AG22" s="367">
        <f t="shared" si="6"/>
        <v>0</v>
      </c>
      <c r="AH22" s="111" t="e">
        <f t="shared" si="7"/>
        <v>#VALUE!</v>
      </c>
      <c r="AI22" s="289">
        <f t="shared" si="8"/>
        <v>0</v>
      </c>
      <c r="AJ22" s="312" t="str">
        <f>IF(ISERROR(AI22/AI21),"",AI22/AI21)</f>
        <v/>
      </c>
      <c r="AK22" s="237">
        <f t="shared" si="9"/>
        <v>0</v>
      </c>
      <c r="AL22" s="312" t="str">
        <f>IF(ISERROR(AK22/AK21),"",AK22/AK21)</f>
        <v/>
      </c>
      <c r="AM22" s="237">
        <f t="shared" si="10"/>
        <v>0</v>
      </c>
      <c r="AN22" s="110"/>
      <c r="AO22" s="99"/>
      <c r="AP22" s="512">
        <f>IF(ISERROR(AQ22*AP21),"",AQ22*AP21)</f>
        <v>0</v>
      </c>
      <c r="AQ22" s="513"/>
      <c r="AR22" s="369"/>
      <c r="AS22" s="370" t="str">
        <f>IF(ISERROR(AR22/AR21),"",AR22/AR21)</f>
        <v/>
      </c>
      <c r="AT22" s="367">
        <f t="shared" si="11"/>
        <v>0</v>
      </c>
      <c r="AU22" s="110"/>
      <c r="AV22" s="512">
        <f>IF(ISERROR(AW22*AV21),"",AW22*AV21)</f>
        <v>0</v>
      </c>
      <c r="AW22" s="513"/>
      <c r="AX22" s="369"/>
      <c r="AY22" s="370" t="str">
        <f>IF(ISERROR(AX22/AX21),"",AX22/AX21)</f>
        <v/>
      </c>
      <c r="AZ22" s="367">
        <f t="shared" si="12"/>
        <v>0</v>
      </c>
      <c r="BA22" s="110"/>
      <c r="BB22" s="512">
        <f>IF(ISERROR(BC22*BB21),"",BC22*BB21)</f>
        <v>0</v>
      </c>
      <c r="BC22" s="513"/>
      <c r="BD22" s="369"/>
      <c r="BE22" s="370" t="str">
        <f>IF(ISERROR(BD22/BD21),"",BD22/BD21)</f>
        <v/>
      </c>
      <c r="BF22" s="367">
        <f t="shared" si="13"/>
        <v>0</v>
      </c>
      <c r="BG22" s="110"/>
      <c r="BH22" s="289">
        <f t="shared" si="14"/>
        <v>0</v>
      </c>
      <c r="BI22" s="312" t="str">
        <f>IF(ISERROR(BH22/BH21),"",BH22/BH21)</f>
        <v/>
      </c>
      <c r="BJ22" s="237">
        <f t="shared" si="15"/>
        <v>0</v>
      </c>
      <c r="BK22" s="312" t="str">
        <f>IF(ISERROR(BJ22/BJ21),"",BJ22/BJ21)</f>
        <v/>
      </c>
      <c r="BL22" s="237">
        <f t="shared" si="16"/>
        <v>0</v>
      </c>
      <c r="BM22" s="110"/>
      <c r="BN22" s="99"/>
      <c r="BO22" s="512">
        <f>IF(ISERROR(BP22*BO21),"",BP22*BO21)</f>
        <v>0</v>
      </c>
      <c r="BP22" s="513"/>
      <c r="BQ22" s="369"/>
      <c r="BR22" s="370" t="str">
        <f>IF(ISERROR(BQ22/BQ21),"",BQ22/BQ21)</f>
        <v/>
      </c>
      <c r="BS22" s="367">
        <f t="shared" si="17"/>
        <v>0</v>
      </c>
      <c r="BT22" s="110"/>
      <c r="BU22" s="512">
        <f>IF(ISERROR(BV22*BU21),"",BV22*BU21)</f>
        <v>0</v>
      </c>
      <c r="BV22" s="513"/>
      <c r="BW22" s="369"/>
      <c r="BX22" s="370" t="str">
        <f>IF(ISERROR(BW22/BW21),"",BW22/BW21)</f>
        <v/>
      </c>
      <c r="BY22" s="367">
        <f t="shared" si="18"/>
        <v>0</v>
      </c>
      <c r="BZ22" s="110"/>
      <c r="CA22" s="512">
        <f>IF(ISERROR(CB22*CA21),"",CB22*CA21)</f>
        <v>0</v>
      </c>
      <c r="CB22" s="513"/>
      <c r="CC22" s="369"/>
      <c r="CD22" s="370" t="str">
        <f>IF(ISERROR(CC22/CC21),"",CC22/CC21)</f>
        <v/>
      </c>
      <c r="CE22" s="367">
        <f t="shared" si="19"/>
        <v>0</v>
      </c>
      <c r="CF22" s="110"/>
      <c r="CG22" s="289">
        <f t="shared" si="20"/>
        <v>0</v>
      </c>
      <c r="CH22" s="312" t="str">
        <f>IF(ISERROR(CG22/CG21),"",CG22/CG21)</f>
        <v/>
      </c>
      <c r="CI22" s="237">
        <f t="shared" si="21"/>
        <v>0</v>
      </c>
      <c r="CJ22" s="312" t="str">
        <f>IF(ISERROR(CI22/CI21),"",CI22/CI21)</f>
        <v/>
      </c>
      <c r="CK22" s="237">
        <f t="shared" si="22"/>
        <v>0</v>
      </c>
      <c r="CL22" s="110"/>
      <c r="CM22" s="100"/>
      <c r="CN22" s="512">
        <f>IF(ISERROR(CO22*CN21),"",CO22*CN21)</f>
        <v>0</v>
      </c>
      <c r="CO22" s="513"/>
      <c r="CP22" s="369"/>
      <c r="CQ22" s="370" t="str">
        <f>IF(ISERROR(CP22/CP21),"",CP22/CP21)</f>
        <v/>
      </c>
      <c r="CR22" s="367">
        <f t="shared" si="23"/>
        <v>0</v>
      </c>
      <c r="CS22" s="110"/>
      <c r="CT22" s="512">
        <f>IF(ISERROR(CU22*CT21),"",CU22*CT21)</f>
        <v>0</v>
      </c>
      <c r="CU22" s="513"/>
      <c r="CV22" s="369"/>
      <c r="CW22" s="370" t="str">
        <f>IF(ISERROR(CV22/CV21),"",CV22/CV21)</f>
        <v/>
      </c>
      <c r="CX22" s="367">
        <f t="shared" si="24"/>
        <v>0</v>
      </c>
      <c r="CY22" s="110"/>
      <c r="CZ22" s="512">
        <f>IF(ISERROR(DA22*CZ21),"",DA22*CZ21)</f>
        <v>0</v>
      </c>
      <c r="DA22" s="513"/>
      <c r="DB22" s="369"/>
      <c r="DC22" s="370" t="str">
        <f>IF(ISERROR(DB22/DB21),"",DB22/DB21)</f>
        <v/>
      </c>
      <c r="DD22" s="367">
        <f t="shared" si="25"/>
        <v>0</v>
      </c>
      <c r="DE22" s="110"/>
      <c r="DF22" s="289">
        <f t="shared" si="26"/>
        <v>0</v>
      </c>
      <c r="DG22" s="312" t="str">
        <f>IF(ISERROR(DF22/DF21),"",DF22/DF21)</f>
        <v/>
      </c>
      <c r="DH22" s="237">
        <f t="shared" si="27"/>
        <v>0</v>
      </c>
      <c r="DI22" s="312" t="str">
        <f>IF(ISERROR(DH22/DH21),"",DH22/DH21)</f>
        <v/>
      </c>
      <c r="DJ22" s="237">
        <f t="shared" si="28"/>
        <v>0</v>
      </c>
      <c r="DK22" s="11"/>
    </row>
    <row r="23" spans="1:115" s="3" customFormat="1" ht="21.75" customHeight="1" outlineLevel="1" x14ac:dyDescent="0.25">
      <c r="A23" s="80">
        <v>14</v>
      </c>
      <c r="B23" s="618"/>
      <c r="C23" s="761"/>
      <c r="D23" s="763"/>
      <c r="E23" s="768" t="s">
        <v>41</v>
      </c>
      <c r="F23" s="769"/>
      <c r="G23" s="769"/>
      <c r="H23" s="769"/>
      <c r="I23" s="770"/>
      <c r="J23" s="236">
        <f t="shared" si="0"/>
        <v>0</v>
      </c>
      <c r="K23" s="299" t="str">
        <f>IF(ISERROR(J23/J20),"",J23/J20)</f>
        <v/>
      </c>
      <c r="L23" s="237">
        <f t="shared" si="1"/>
        <v>0</v>
      </c>
      <c r="M23" s="299" t="str">
        <f>IF(ISERROR(L23/L20),"",L23/L20)</f>
        <v/>
      </c>
      <c r="N23" s="210">
        <f t="shared" si="2"/>
        <v>0</v>
      </c>
      <c r="O23" s="45" t="e">
        <f t="shared" si="3"/>
        <v>#VALUE!</v>
      </c>
      <c r="P23" s="47"/>
      <c r="Q23" s="512">
        <f>IF(ISERROR(R23*Q20),"",R23*Q20)</f>
        <v>0</v>
      </c>
      <c r="R23" s="514"/>
      <c r="S23" s="369"/>
      <c r="T23" s="368" t="str">
        <f>IF(ISERROR(S23/S20),"",S23/S20)</f>
        <v/>
      </c>
      <c r="U23" s="367">
        <f t="shared" si="4"/>
        <v>0</v>
      </c>
      <c r="V23" s="110"/>
      <c r="W23" s="512">
        <f>IF(ISERROR(X23*W20),"",X23*W20)</f>
        <v>0</v>
      </c>
      <c r="X23" s="514"/>
      <c r="Y23" s="369"/>
      <c r="Z23" s="368" t="str">
        <f>IF(ISERROR(Y23/Y20),"",Y23/Y20)</f>
        <v/>
      </c>
      <c r="AA23" s="367">
        <f t="shared" si="5"/>
        <v>0</v>
      </c>
      <c r="AB23" s="110"/>
      <c r="AC23" s="512">
        <f>IF(ISERROR(AD23*AC20),"",AD23*AC20)</f>
        <v>0</v>
      </c>
      <c r="AD23" s="514"/>
      <c r="AE23" s="369"/>
      <c r="AF23" s="368" t="str">
        <f>IF(ISERROR(AE23/AE20),"",AE23/AE20)</f>
        <v/>
      </c>
      <c r="AG23" s="367">
        <f t="shared" si="6"/>
        <v>0</v>
      </c>
      <c r="AH23" s="111" t="e">
        <f t="shared" si="7"/>
        <v>#VALUE!</v>
      </c>
      <c r="AI23" s="289">
        <f t="shared" si="8"/>
        <v>0</v>
      </c>
      <c r="AJ23" s="299" t="str">
        <f>IF(ISERROR(AI23/AI20),"",AI23/AI20)</f>
        <v/>
      </c>
      <c r="AK23" s="237">
        <f t="shared" si="9"/>
        <v>0</v>
      </c>
      <c r="AL23" s="299" t="str">
        <f>IF(ISERROR(AK23/AK20),"",AK23/AK20)</f>
        <v/>
      </c>
      <c r="AM23" s="237">
        <f t="shared" si="10"/>
        <v>0</v>
      </c>
      <c r="AN23" s="110"/>
      <c r="AO23" s="99"/>
      <c r="AP23" s="512">
        <f>IF(ISERROR(AQ23*AP20),"",AQ23*AP20)</f>
        <v>0</v>
      </c>
      <c r="AQ23" s="514"/>
      <c r="AR23" s="369"/>
      <c r="AS23" s="368" t="str">
        <f>IF(ISERROR(AR23/AR20),"",AR23/AR20)</f>
        <v/>
      </c>
      <c r="AT23" s="367">
        <f t="shared" si="11"/>
        <v>0</v>
      </c>
      <c r="AU23" s="110"/>
      <c r="AV23" s="512">
        <f>IF(ISERROR(AW23*AV20),"",AW23*AV20)</f>
        <v>0</v>
      </c>
      <c r="AW23" s="514"/>
      <c r="AX23" s="369"/>
      <c r="AY23" s="368" t="str">
        <f>IF(ISERROR(AX23/AX20),"",AX23/AX20)</f>
        <v/>
      </c>
      <c r="AZ23" s="367">
        <f t="shared" si="12"/>
        <v>0</v>
      </c>
      <c r="BA23" s="110"/>
      <c r="BB23" s="512">
        <f>IF(ISERROR(BC23*BB20),"",BC23*BB20)</f>
        <v>0</v>
      </c>
      <c r="BC23" s="514"/>
      <c r="BD23" s="369"/>
      <c r="BE23" s="368" t="str">
        <f>IF(ISERROR(BD23/BD20),"",BD23/BD20)</f>
        <v/>
      </c>
      <c r="BF23" s="367">
        <f t="shared" si="13"/>
        <v>0</v>
      </c>
      <c r="BG23" s="110"/>
      <c r="BH23" s="289">
        <f t="shared" si="14"/>
        <v>0</v>
      </c>
      <c r="BI23" s="299" t="str">
        <f>IF(ISERROR(BH23/BH20),"",BH23/BH20)</f>
        <v/>
      </c>
      <c r="BJ23" s="237">
        <f t="shared" si="15"/>
        <v>0</v>
      </c>
      <c r="BK23" s="299" t="str">
        <f>IF(ISERROR(BJ23/BJ20),"",BJ23/BJ20)</f>
        <v/>
      </c>
      <c r="BL23" s="237">
        <f t="shared" si="16"/>
        <v>0</v>
      </c>
      <c r="BM23" s="110"/>
      <c r="BN23" s="99"/>
      <c r="BO23" s="512">
        <f>IF(ISERROR(BP23*BO20),"",BP23*BO20)</f>
        <v>0</v>
      </c>
      <c r="BP23" s="514"/>
      <c r="BQ23" s="369"/>
      <c r="BR23" s="368" t="str">
        <f>IF(ISERROR(BQ23/BQ20),"",BQ23/BQ20)</f>
        <v/>
      </c>
      <c r="BS23" s="367">
        <f t="shared" si="17"/>
        <v>0</v>
      </c>
      <c r="BT23" s="110"/>
      <c r="BU23" s="512">
        <f>IF(ISERROR(BV23*BU20),"",BV23*BU20)</f>
        <v>0</v>
      </c>
      <c r="BV23" s="514"/>
      <c r="BW23" s="369"/>
      <c r="BX23" s="368" t="str">
        <f>IF(ISERROR(BW23/BW20),"",BW23/BW20)</f>
        <v/>
      </c>
      <c r="BY23" s="367">
        <f t="shared" si="18"/>
        <v>0</v>
      </c>
      <c r="BZ23" s="110"/>
      <c r="CA23" s="512">
        <f>IF(ISERROR(CB23*CA20),"",CB23*CA20)</f>
        <v>0</v>
      </c>
      <c r="CB23" s="514"/>
      <c r="CC23" s="369"/>
      <c r="CD23" s="368" t="str">
        <f>IF(ISERROR(CC23/CC20),"",CC23/CC20)</f>
        <v/>
      </c>
      <c r="CE23" s="367">
        <f t="shared" si="19"/>
        <v>0</v>
      </c>
      <c r="CF23" s="110"/>
      <c r="CG23" s="289">
        <f t="shared" si="20"/>
        <v>0</v>
      </c>
      <c r="CH23" s="299" t="str">
        <f>IF(ISERROR(CG23/CG20),"",CG23/CG20)</f>
        <v/>
      </c>
      <c r="CI23" s="237">
        <f t="shared" si="21"/>
        <v>0</v>
      </c>
      <c r="CJ23" s="299" t="str">
        <f>IF(ISERROR(CI23/CI20),"",CI23/CI20)</f>
        <v/>
      </c>
      <c r="CK23" s="237">
        <f t="shared" si="22"/>
        <v>0</v>
      </c>
      <c r="CL23" s="110"/>
      <c r="CM23" s="100"/>
      <c r="CN23" s="512">
        <f>IF(ISERROR(CO23*CN20),"",CO23*CN20)</f>
        <v>0</v>
      </c>
      <c r="CO23" s="514"/>
      <c r="CP23" s="369"/>
      <c r="CQ23" s="368" t="str">
        <f>IF(ISERROR(CP23/CP20),"",CP23/CP20)</f>
        <v/>
      </c>
      <c r="CR23" s="367">
        <f t="shared" si="23"/>
        <v>0</v>
      </c>
      <c r="CS23" s="110"/>
      <c r="CT23" s="512">
        <f>IF(ISERROR(CU23*CT20),"",CU23*CT20)</f>
        <v>0</v>
      </c>
      <c r="CU23" s="514"/>
      <c r="CV23" s="369"/>
      <c r="CW23" s="368" t="str">
        <f>IF(ISERROR(CV23/CV20),"",CV23/CV20)</f>
        <v/>
      </c>
      <c r="CX23" s="367">
        <f t="shared" si="24"/>
        <v>0</v>
      </c>
      <c r="CY23" s="110"/>
      <c r="CZ23" s="512">
        <f>IF(ISERROR(DA23*CZ20),"",DA23*CZ20)</f>
        <v>0</v>
      </c>
      <c r="DA23" s="514"/>
      <c r="DB23" s="369"/>
      <c r="DC23" s="368" t="str">
        <f>IF(ISERROR(DB23/DB20),"",DB23/DB20)</f>
        <v/>
      </c>
      <c r="DD23" s="367">
        <f t="shared" si="25"/>
        <v>0</v>
      </c>
      <c r="DE23" s="110"/>
      <c r="DF23" s="289">
        <f t="shared" si="26"/>
        <v>0</v>
      </c>
      <c r="DG23" s="299" t="str">
        <f>IF(ISERROR(DF23/DF20),"",DF23/DF20)</f>
        <v/>
      </c>
      <c r="DH23" s="237">
        <f t="shared" si="27"/>
        <v>0</v>
      </c>
      <c r="DI23" s="299" t="str">
        <f>IF(ISERROR(DH23/DH20),"",DH23/DH20)</f>
        <v/>
      </c>
      <c r="DJ23" s="237">
        <f t="shared" si="28"/>
        <v>0</v>
      </c>
      <c r="DK23" s="11"/>
    </row>
    <row r="24" spans="1:115" s="3" customFormat="1" ht="21.75" customHeight="1" outlineLevel="1" x14ac:dyDescent="0.25">
      <c r="A24" s="80">
        <v>15</v>
      </c>
      <c r="B24" s="618"/>
      <c r="C24" s="761"/>
      <c r="D24" s="763"/>
      <c r="E24" s="84"/>
      <c r="F24" s="780" t="s">
        <v>42</v>
      </c>
      <c r="G24" s="781"/>
      <c r="H24" s="781"/>
      <c r="I24" s="782"/>
      <c r="J24" s="236">
        <f t="shared" si="0"/>
        <v>0</v>
      </c>
      <c r="K24" s="299" t="str">
        <f>IF(ISERROR(J24/J20),"",J24/J20)</f>
        <v/>
      </c>
      <c r="L24" s="237">
        <f t="shared" si="1"/>
        <v>0</v>
      </c>
      <c r="M24" s="299" t="str">
        <f>IF(ISERROR(L24/L20),"",L24/L20)</f>
        <v/>
      </c>
      <c r="N24" s="210">
        <f t="shared" si="2"/>
        <v>0</v>
      </c>
      <c r="O24" s="45" t="e">
        <f t="shared" si="3"/>
        <v>#VALUE!</v>
      </c>
      <c r="P24" s="47"/>
      <c r="Q24" s="512">
        <f>IF(ISERROR(R24*Q20),"",R24*Q20)</f>
        <v>0</v>
      </c>
      <c r="R24" s="514"/>
      <c r="S24" s="369"/>
      <c r="T24" s="368" t="str">
        <f>IF(ISERROR(S24/S20),"",S24/S20)</f>
        <v/>
      </c>
      <c r="U24" s="367">
        <f t="shared" si="4"/>
        <v>0</v>
      </c>
      <c r="V24" s="110"/>
      <c r="W24" s="512">
        <f>IF(ISERROR(X24*W20),"",X24*W20)</f>
        <v>0</v>
      </c>
      <c r="X24" s="514"/>
      <c r="Y24" s="369"/>
      <c r="Z24" s="368" t="str">
        <f>IF(ISERROR(Y24/Y20),"",Y24/Y20)</f>
        <v/>
      </c>
      <c r="AA24" s="367">
        <f t="shared" si="5"/>
        <v>0</v>
      </c>
      <c r="AB24" s="110"/>
      <c r="AC24" s="512">
        <f>IF(ISERROR(AD24*AC20),"",AD24*AC20)</f>
        <v>0</v>
      </c>
      <c r="AD24" s="514"/>
      <c r="AE24" s="369"/>
      <c r="AF24" s="368" t="str">
        <f>IF(ISERROR(AE24/AE20),"",AE24/AE20)</f>
        <v/>
      </c>
      <c r="AG24" s="367">
        <f t="shared" si="6"/>
        <v>0</v>
      </c>
      <c r="AH24" s="111" t="e">
        <f t="shared" si="7"/>
        <v>#VALUE!</v>
      </c>
      <c r="AI24" s="289">
        <f t="shared" si="8"/>
        <v>0</v>
      </c>
      <c r="AJ24" s="299" t="str">
        <f>IF(ISERROR(AI24/AI20),"",AI24/AI20)</f>
        <v/>
      </c>
      <c r="AK24" s="237">
        <f t="shared" si="9"/>
        <v>0</v>
      </c>
      <c r="AL24" s="299" t="str">
        <f>IF(ISERROR(AK24/AK20),"",AK24/AK20)</f>
        <v/>
      </c>
      <c r="AM24" s="237">
        <f t="shared" si="10"/>
        <v>0</v>
      </c>
      <c r="AN24" s="110"/>
      <c r="AO24" s="99"/>
      <c r="AP24" s="512">
        <f>IF(ISERROR(AQ24*AP20),"",AQ24*AP20)</f>
        <v>0</v>
      </c>
      <c r="AQ24" s="514"/>
      <c r="AR24" s="369"/>
      <c r="AS24" s="368" t="str">
        <f>IF(ISERROR(AR24/AR20),"",AR24/AR20)</f>
        <v/>
      </c>
      <c r="AT24" s="367">
        <f t="shared" si="11"/>
        <v>0</v>
      </c>
      <c r="AU24" s="110"/>
      <c r="AV24" s="512">
        <f>IF(ISERROR(AW24*AV20),"",AW24*AV20)</f>
        <v>0</v>
      </c>
      <c r="AW24" s="514"/>
      <c r="AX24" s="369"/>
      <c r="AY24" s="368" t="str">
        <f>IF(ISERROR(AX24/AX20),"",AX24/AX20)</f>
        <v/>
      </c>
      <c r="AZ24" s="367">
        <f t="shared" si="12"/>
        <v>0</v>
      </c>
      <c r="BA24" s="110"/>
      <c r="BB24" s="512">
        <f>IF(ISERROR(BC24*BB20),"",BC24*BB20)</f>
        <v>0</v>
      </c>
      <c r="BC24" s="514"/>
      <c r="BD24" s="369"/>
      <c r="BE24" s="368" t="str">
        <f>IF(ISERROR(BD24/BD20),"",BD24/BD20)</f>
        <v/>
      </c>
      <c r="BF24" s="367">
        <f t="shared" si="13"/>
        <v>0</v>
      </c>
      <c r="BG24" s="110"/>
      <c r="BH24" s="289">
        <f t="shared" si="14"/>
        <v>0</v>
      </c>
      <c r="BI24" s="299" t="str">
        <f>IF(ISERROR(BH24/BH20),"",BH24/BH20)</f>
        <v/>
      </c>
      <c r="BJ24" s="237">
        <f t="shared" si="15"/>
        <v>0</v>
      </c>
      <c r="BK24" s="299" t="str">
        <f>IF(ISERROR(BJ24/BJ20),"",BJ24/BJ20)</f>
        <v/>
      </c>
      <c r="BL24" s="237">
        <f t="shared" si="16"/>
        <v>0</v>
      </c>
      <c r="BM24" s="110"/>
      <c r="BN24" s="99"/>
      <c r="BO24" s="512">
        <f>IF(ISERROR(BP24*BO20),"",BP24*BO20)</f>
        <v>0</v>
      </c>
      <c r="BP24" s="514"/>
      <c r="BQ24" s="369"/>
      <c r="BR24" s="368" t="str">
        <f>IF(ISERROR(BQ24/BQ20),"",BQ24/BQ20)</f>
        <v/>
      </c>
      <c r="BS24" s="367">
        <f t="shared" si="17"/>
        <v>0</v>
      </c>
      <c r="BT24" s="110"/>
      <c r="BU24" s="512">
        <f>IF(ISERROR(BV24*BU20),"",BV24*BU20)</f>
        <v>0</v>
      </c>
      <c r="BV24" s="514"/>
      <c r="BW24" s="369"/>
      <c r="BX24" s="368" t="str">
        <f>IF(ISERROR(BW24/BW20),"",BW24/BW20)</f>
        <v/>
      </c>
      <c r="BY24" s="367">
        <f t="shared" si="18"/>
        <v>0</v>
      </c>
      <c r="BZ24" s="110"/>
      <c r="CA24" s="512">
        <f>IF(ISERROR(CB24*CA20),"",CB24*CA20)</f>
        <v>0</v>
      </c>
      <c r="CB24" s="514"/>
      <c r="CC24" s="369"/>
      <c r="CD24" s="368" t="str">
        <f>IF(ISERROR(CC24/CC20),"",CC24/CC20)</f>
        <v/>
      </c>
      <c r="CE24" s="367">
        <f t="shared" si="19"/>
        <v>0</v>
      </c>
      <c r="CF24" s="110"/>
      <c r="CG24" s="289">
        <f t="shared" si="20"/>
        <v>0</v>
      </c>
      <c r="CH24" s="299" t="str">
        <f>IF(ISERROR(CG24/CG20),"",CG24/CG20)</f>
        <v/>
      </c>
      <c r="CI24" s="237">
        <f t="shared" si="21"/>
        <v>0</v>
      </c>
      <c r="CJ24" s="299" t="str">
        <f>IF(ISERROR(CI24/CI20),"",CI24/CI20)</f>
        <v/>
      </c>
      <c r="CK24" s="237">
        <f t="shared" si="22"/>
        <v>0</v>
      </c>
      <c r="CL24" s="110"/>
      <c r="CM24" s="100"/>
      <c r="CN24" s="512">
        <f>IF(ISERROR(CO24*CN20),"",CO24*CN20)</f>
        <v>0</v>
      </c>
      <c r="CO24" s="514"/>
      <c r="CP24" s="369"/>
      <c r="CQ24" s="368" t="str">
        <f>IF(ISERROR(CP24/CP20),"",CP24/CP20)</f>
        <v/>
      </c>
      <c r="CR24" s="367">
        <f t="shared" si="23"/>
        <v>0</v>
      </c>
      <c r="CS24" s="110"/>
      <c r="CT24" s="512">
        <f>IF(ISERROR(CU24*CT20),"",CU24*CT20)</f>
        <v>0</v>
      </c>
      <c r="CU24" s="514"/>
      <c r="CV24" s="369"/>
      <c r="CW24" s="368" t="str">
        <f>IF(ISERROR(CV24/CV20),"",CV24/CV20)</f>
        <v/>
      </c>
      <c r="CX24" s="367">
        <f t="shared" si="24"/>
        <v>0</v>
      </c>
      <c r="CY24" s="110"/>
      <c r="CZ24" s="512">
        <f>IF(ISERROR(DA24*CZ20),"",DA24*CZ20)</f>
        <v>0</v>
      </c>
      <c r="DA24" s="514"/>
      <c r="DB24" s="369"/>
      <c r="DC24" s="368" t="str">
        <f>IF(ISERROR(DB24/DB20),"",DB24/DB20)</f>
        <v/>
      </c>
      <c r="DD24" s="367">
        <f t="shared" si="25"/>
        <v>0</v>
      </c>
      <c r="DE24" s="110"/>
      <c r="DF24" s="289">
        <f t="shared" si="26"/>
        <v>0</v>
      </c>
      <c r="DG24" s="299" t="str">
        <f>IF(ISERROR(DF24/DF20),"",DF24/DF20)</f>
        <v/>
      </c>
      <c r="DH24" s="237">
        <f t="shared" si="27"/>
        <v>0</v>
      </c>
      <c r="DI24" s="299" t="str">
        <f>IF(ISERROR(DH24/DH20),"",DH24/DH20)</f>
        <v/>
      </c>
      <c r="DJ24" s="237">
        <f t="shared" si="28"/>
        <v>0</v>
      </c>
      <c r="DK24" s="11"/>
    </row>
    <row r="25" spans="1:115" s="3" customFormat="1" ht="21.75" customHeight="1" outlineLevel="1" x14ac:dyDescent="0.25">
      <c r="A25" s="80">
        <v>16</v>
      </c>
      <c r="B25" s="618"/>
      <c r="C25" s="761"/>
      <c r="D25" s="763"/>
      <c r="E25" s="634"/>
      <c r="F25" s="785" t="s">
        <v>43</v>
      </c>
      <c r="G25" s="635"/>
      <c r="H25" s="635"/>
      <c r="I25" s="636"/>
      <c r="J25" s="230">
        <f t="shared" si="0"/>
        <v>0</v>
      </c>
      <c r="K25" s="296" t="str">
        <f>IF(ISERROR(J25/J20),"",J25/J20)</f>
        <v/>
      </c>
      <c r="L25" s="231">
        <f t="shared" si="1"/>
        <v>0</v>
      </c>
      <c r="M25" s="296" t="str">
        <f>IF(ISERROR(L25/L20),"",L25/L20)</f>
        <v/>
      </c>
      <c r="N25" s="207">
        <f t="shared" si="2"/>
        <v>0</v>
      </c>
      <c r="O25" s="45" t="e">
        <f t="shared" si="3"/>
        <v>#VALUE!</v>
      </c>
      <c r="P25" s="47"/>
      <c r="Q25" s="512">
        <f>IF(ISERROR(R25*Q20),"",R25*Q20)</f>
        <v>0</v>
      </c>
      <c r="R25" s="515"/>
      <c r="S25" s="371"/>
      <c r="T25" s="359" t="str">
        <f>IF(ISERROR(S25/S20),"",S25/S20)</f>
        <v/>
      </c>
      <c r="U25" s="358">
        <f t="shared" si="4"/>
        <v>0</v>
      </c>
      <c r="V25" s="102"/>
      <c r="W25" s="512">
        <f>IF(ISERROR(X25*W20),"",X25*W20)</f>
        <v>0</v>
      </c>
      <c r="X25" s="515"/>
      <c r="Y25" s="371"/>
      <c r="Z25" s="359" t="str">
        <f>IF(ISERROR(Y25/Y20),"",Y25/Y20)</f>
        <v/>
      </c>
      <c r="AA25" s="358">
        <f t="shared" si="5"/>
        <v>0</v>
      </c>
      <c r="AB25" s="102"/>
      <c r="AC25" s="512">
        <f>IF(ISERROR(AD25*AC20),"",AD25*AC20)</f>
        <v>0</v>
      </c>
      <c r="AD25" s="515"/>
      <c r="AE25" s="371"/>
      <c r="AF25" s="359" t="str">
        <f>IF(ISERROR(AE25/AE20),"",AE25/AE20)</f>
        <v/>
      </c>
      <c r="AG25" s="358">
        <f t="shared" si="6"/>
        <v>0</v>
      </c>
      <c r="AH25" s="103" t="e">
        <f t="shared" si="7"/>
        <v>#VALUE!</v>
      </c>
      <c r="AI25" s="286">
        <f t="shared" si="8"/>
        <v>0</v>
      </c>
      <c r="AJ25" s="296" t="str">
        <f>IF(ISERROR(AI25/AI20),"",AI25/AI20)</f>
        <v/>
      </c>
      <c r="AK25" s="231">
        <f t="shared" si="9"/>
        <v>0</v>
      </c>
      <c r="AL25" s="296" t="str">
        <f>IF(ISERROR(AK25/AK20),"",AK25/AK20)</f>
        <v/>
      </c>
      <c r="AM25" s="231">
        <f t="shared" si="10"/>
        <v>0</v>
      </c>
      <c r="AN25" s="102"/>
      <c r="AO25" s="99"/>
      <c r="AP25" s="512">
        <f>IF(ISERROR(AQ25*AP20),"",AQ25*AP20)</f>
        <v>0</v>
      </c>
      <c r="AQ25" s="515"/>
      <c r="AR25" s="371"/>
      <c r="AS25" s="359" t="str">
        <f>IF(ISERROR(AR25/AR20),"",AR25/AR20)</f>
        <v/>
      </c>
      <c r="AT25" s="358">
        <f t="shared" si="11"/>
        <v>0</v>
      </c>
      <c r="AU25" s="102"/>
      <c r="AV25" s="512">
        <f>IF(ISERROR(AW25*AV20),"",AW25*AV20)</f>
        <v>0</v>
      </c>
      <c r="AW25" s="515"/>
      <c r="AX25" s="371"/>
      <c r="AY25" s="359" t="str">
        <f>IF(ISERROR(AX25/AX20),"",AX25/AX20)</f>
        <v/>
      </c>
      <c r="AZ25" s="358">
        <f t="shared" si="12"/>
        <v>0</v>
      </c>
      <c r="BA25" s="102"/>
      <c r="BB25" s="512">
        <f>IF(ISERROR(BC25*BB20),"",BC25*BB20)</f>
        <v>0</v>
      </c>
      <c r="BC25" s="515"/>
      <c r="BD25" s="371"/>
      <c r="BE25" s="359" t="str">
        <f>IF(ISERROR(BD25/BD20),"",BD25/BD20)</f>
        <v/>
      </c>
      <c r="BF25" s="358">
        <f t="shared" si="13"/>
        <v>0</v>
      </c>
      <c r="BG25" s="102"/>
      <c r="BH25" s="286">
        <f t="shared" si="14"/>
        <v>0</v>
      </c>
      <c r="BI25" s="296" t="str">
        <f>IF(ISERROR(BH25/BH20),"",BH25/BH20)</f>
        <v/>
      </c>
      <c r="BJ25" s="231">
        <f t="shared" si="15"/>
        <v>0</v>
      </c>
      <c r="BK25" s="296" t="str">
        <f>IF(ISERROR(BJ25/BJ20),"",BJ25/BJ20)</f>
        <v/>
      </c>
      <c r="BL25" s="231">
        <f t="shared" si="16"/>
        <v>0</v>
      </c>
      <c r="BM25" s="102"/>
      <c r="BN25" s="99"/>
      <c r="BO25" s="512">
        <f>IF(ISERROR(BP25*BO20),"",BP25*BO20)</f>
        <v>0</v>
      </c>
      <c r="BP25" s="515"/>
      <c r="BQ25" s="371"/>
      <c r="BR25" s="359" t="str">
        <f>IF(ISERROR(BQ25/BQ20),"",BQ25/BQ20)</f>
        <v/>
      </c>
      <c r="BS25" s="358">
        <f t="shared" si="17"/>
        <v>0</v>
      </c>
      <c r="BT25" s="102"/>
      <c r="BU25" s="512">
        <f>IF(ISERROR(BV25*BU20),"",BV25*BU20)</f>
        <v>0</v>
      </c>
      <c r="BV25" s="515"/>
      <c r="BW25" s="371"/>
      <c r="BX25" s="359" t="str">
        <f>IF(ISERROR(BW25/BW20),"",BW25/BW20)</f>
        <v/>
      </c>
      <c r="BY25" s="358">
        <f t="shared" si="18"/>
        <v>0</v>
      </c>
      <c r="BZ25" s="102"/>
      <c r="CA25" s="512">
        <f>IF(ISERROR(CB25*CA20),"",CB25*CA20)</f>
        <v>0</v>
      </c>
      <c r="CB25" s="515"/>
      <c r="CC25" s="371"/>
      <c r="CD25" s="359" t="str">
        <f>IF(ISERROR(CC25/CC20),"",CC25/CC20)</f>
        <v/>
      </c>
      <c r="CE25" s="358">
        <f t="shared" si="19"/>
        <v>0</v>
      </c>
      <c r="CF25" s="102"/>
      <c r="CG25" s="286">
        <f t="shared" si="20"/>
        <v>0</v>
      </c>
      <c r="CH25" s="296" t="str">
        <f>IF(ISERROR(CG25/CG20),"",CG25/CG20)</f>
        <v/>
      </c>
      <c r="CI25" s="231">
        <f t="shared" si="21"/>
        <v>0</v>
      </c>
      <c r="CJ25" s="296" t="str">
        <f>IF(ISERROR(CI25/CI20),"",CI25/CI20)</f>
        <v/>
      </c>
      <c r="CK25" s="231">
        <f t="shared" si="22"/>
        <v>0</v>
      </c>
      <c r="CL25" s="102"/>
      <c r="CM25" s="100"/>
      <c r="CN25" s="512">
        <f>IF(ISERROR(CO25*CN20),"",CO25*CN20)</f>
        <v>0</v>
      </c>
      <c r="CO25" s="515"/>
      <c r="CP25" s="371"/>
      <c r="CQ25" s="359" t="str">
        <f>IF(ISERROR(CP25/CP20),"",CP25/CP20)</f>
        <v/>
      </c>
      <c r="CR25" s="358">
        <f t="shared" si="23"/>
        <v>0</v>
      </c>
      <c r="CS25" s="102"/>
      <c r="CT25" s="512">
        <f>IF(ISERROR(CU25*CT20),"",CU25*CT20)</f>
        <v>0</v>
      </c>
      <c r="CU25" s="515"/>
      <c r="CV25" s="371"/>
      <c r="CW25" s="359" t="str">
        <f>IF(ISERROR(CV25/CV20),"",CV25/CV20)</f>
        <v/>
      </c>
      <c r="CX25" s="358">
        <f t="shared" si="24"/>
        <v>0</v>
      </c>
      <c r="CY25" s="102"/>
      <c r="CZ25" s="512">
        <f>IF(ISERROR(DA25*CZ20),"",DA25*CZ20)</f>
        <v>0</v>
      </c>
      <c r="DA25" s="515"/>
      <c r="DB25" s="371"/>
      <c r="DC25" s="359" t="str">
        <f>IF(ISERROR(DB25/DB20),"",DB25/DB20)</f>
        <v/>
      </c>
      <c r="DD25" s="358">
        <f t="shared" si="25"/>
        <v>0</v>
      </c>
      <c r="DE25" s="102"/>
      <c r="DF25" s="286">
        <f t="shared" si="26"/>
        <v>0</v>
      </c>
      <c r="DG25" s="296" t="str">
        <f>IF(ISERROR(DF25/DF20),"",DF25/DF20)</f>
        <v/>
      </c>
      <c r="DH25" s="231">
        <f t="shared" si="27"/>
        <v>0</v>
      </c>
      <c r="DI25" s="296" t="str">
        <f>IF(ISERROR(DH25/DH20),"",DH25/DH20)</f>
        <v/>
      </c>
      <c r="DJ25" s="231">
        <f t="shared" si="28"/>
        <v>0</v>
      </c>
      <c r="DK25" s="8"/>
    </row>
    <row r="26" spans="1:115" s="3" customFormat="1" ht="21.75" customHeight="1" outlineLevel="1" x14ac:dyDescent="0.25">
      <c r="A26" s="80">
        <v>17</v>
      </c>
      <c r="B26" s="618"/>
      <c r="C26" s="761"/>
      <c r="D26" s="763"/>
      <c r="E26" s="783"/>
      <c r="F26" s="685" t="s">
        <v>44</v>
      </c>
      <c r="G26" s="641"/>
      <c r="H26" s="641"/>
      <c r="I26" s="642"/>
      <c r="J26" s="230">
        <f t="shared" si="0"/>
        <v>0</v>
      </c>
      <c r="K26" s="296" t="str">
        <f>IF(ISERROR(J26/J20),"",J26/J20)</f>
        <v/>
      </c>
      <c r="L26" s="231">
        <f t="shared" si="1"/>
        <v>0</v>
      </c>
      <c r="M26" s="296" t="str">
        <f>IF(ISERROR(L26/L20),"",L26/L20)</f>
        <v/>
      </c>
      <c r="N26" s="207">
        <f t="shared" si="2"/>
        <v>0</v>
      </c>
      <c r="O26" s="45" t="e">
        <f t="shared" si="3"/>
        <v>#VALUE!</v>
      </c>
      <c r="P26" s="47"/>
      <c r="Q26" s="512">
        <f>IF(ISERROR(R26*Q20),"",R26*Q20)</f>
        <v>0</v>
      </c>
      <c r="R26" s="515"/>
      <c r="S26" s="371"/>
      <c r="T26" s="359" t="str">
        <f>IF(ISERROR(S26/S20),"",S26/S20)</f>
        <v/>
      </c>
      <c r="U26" s="358">
        <f t="shared" si="4"/>
        <v>0</v>
      </c>
      <c r="V26" s="102"/>
      <c r="W26" s="512">
        <f>IF(ISERROR(X26*W20),"",X26*W20)</f>
        <v>0</v>
      </c>
      <c r="X26" s="515"/>
      <c r="Y26" s="371"/>
      <c r="Z26" s="359" t="str">
        <f>IF(ISERROR(Y26/Y20),"",Y26/Y20)</f>
        <v/>
      </c>
      <c r="AA26" s="358">
        <f t="shared" si="5"/>
        <v>0</v>
      </c>
      <c r="AB26" s="102"/>
      <c r="AC26" s="512">
        <f>IF(ISERROR(AD26*AC20),"",AD26*AC20)</f>
        <v>0</v>
      </c>
      <c r="AD26" s="515"/>
      <c r="AE26" s="371"/>
      <c r="AF26" s="359" t="str">
        <f>IF(ISERROR(AE26/AE20),"",AE26/AE20)</f>
        <v/>
      </c>
      <c r="AG26" s="358">
        <f t="shared" si="6"/>
        <v>0</v>
      </c>
      <c r="AH26" s="103" t="e">
        <f t="shared" si="7"/>
        <v>#VALUE!</v>
      </c>
      <c r="AI26" s="286">
        <f t="shared" si="8"/>
        <v>0</v>
      </c>
      <c r="AJ26" s="296" t="str">
        <f>IF(ISERROR(AI26/AI20),"",AI26/AI20)</f>
        <v/>
      </c>
      <c r="AK26" s="231">
        <f t="shared" si="9"/>
        <v>0</v>
      </c>
      <c r="AL26" s="296" t="str">
        <f>IF(ISERROR(AK26/AK20),"",AK26/AK20)</f>
        <v/>
      </c>
      <c r="AM26" s="231">
        <f t="shared" si="10"/>
        <v>0</v>
      </c>
      <c r="AN26" s="102"/>
      <c r="AO26" s="99"/>
      <c r="AP26" s="512">
        <f>IF(ISERROR(AQ26*AP20),"",AQ26*AP20)</f>
        <v>0</v>
      </c>
      <c r="AQ26" s="515"/>
      <c r="AR26" s="371"/>
      <c r="AS26" s="359" t="str">
        <f>IF(ISERROR(AR26/AR20),"",AR26/AR20)</f>
        <v/>
      </c>
      <c r="AT26" s="358">
        <f t="shared" si="11"/>
        <v>0</v>
      </c>
      <c r="AU26" s="102"/>
      <c r="AV26" s="512">
        <f>IF(ISERROR(AW26*AV20),"",AW26*AV20)</f>
        <v>0</v>
      </c>
      <c r="AW26" s="515"/>
      <c r="AX26" s="371"/>
      <c r="AY26" s="359" t="str">
        <f>IF(ISERROR(AX26/AX20),"",AX26/AX20)</f>
        <v/>
      </c>
      <c r="AZ26" s="358">
        <f t="shared" si="12"/>
        <v>0</v>
      </c>
      <c r="BA26" s="102"/>
      <c r="BB26" s="512">
        <f>IF(ISERROR(BC26*BB20),"",BC26*BB20)</f>
        <v>0</v>
      </c>
      <c r="BC26" s="515"/>
      <c r="BD26" s="371"/>
      <c r="BE26" s="359" t="str">
        <f>IF(ISERROR(BD26/BD20),"",BD26/BD20)</f>
        <v/>
      </c>
      <c r="BF26" s="358">
        <f t="shared" si="13"/>
        <v>0</v>
      </c>
      <c r="BG26" s="102"/>
      <c r="BH26" s="286">
        <f t="shared" si="14"/>
        <v>0</v>
      </c>
      <c r="BI26" s="296" t="str">
        <f>IF(ISERROR(BH26/BH20),"",BH26/BH20)</f>
        <v/>
      </c>
      <c r="BJ26" s="231">
        <f t="shared" si="15"/>
        <v>0</v>
      </c>
      <c r="BK26" s="296" t="str">
        <f>IF(ISERROR(BJ26/BJ20),"",BJ26/BJ20)</f>
        <v/>
      </c>
      <c r="BL26" s="231">
        <f t="shared" si="16"/>
        <v>0</v>
      </c>
      <c r="BM26" s="102"/>
      <c r="BN26" s="99"/>
      <c r="BO26" s="512">
        <f>IF(ISERROR(BP26*BO20),"",BP26*BO20)</f>
        <v>0</v>
      </c>
      <c r="BP26" s="515"/>
      <c r="BQ26" s="371"/>
      <c r="BR26" s="359" t="str">
        <f>IF(ISERROR(BQ26/BQ20),"",BQ26/BQ20)</f>
        <v/>
      </c>
      <c r="BS26" s="358">
        <f t="shared" si="17"/>
        <v>0</v>
      </c>
      <c r="BT26" s="102"/>
      <c r="BU26" s="512">
        <f>IF(ISERROR(BV26*BU20),"",BV26*BU20)</f>
        <v>0</v>
      </c>
      <c r="BV26" s="515"/>
      <c r="BW26" s="371"/>
      <c r="BX26" s="359" t="str">
        <f>IF(ISERROR(BW26/BW20),"",BW26/BW20)</f>
        <v/>
      </c>
      <c r="BY26" s="358">
        <f t="shared" si="18"/>
        <v>0</v>
      </c>
      <c r="BZ26" s="102"/>
      <c r="CA26" s="512">
        <f>IF(ISERROR(CB26*CA20),"",CB26*CA20)</f>
        <v>0</v>
      </c>
      <c r="CB26" s="515"/>
      <c r="CC26" s="371"/>
      <c r="CD26" s="359" t="str">
        <f>IF(ISERROR(CC26/CC20),"",CC26/CC20)</f>
        <v/>
      </c>
      <c r="CE26" s="358">
        <f t="shared" si="19"/>
        <v>0</v>
      </c>
      <c r="CF26" s="102"/>
      <c r="CG26" s="286">
        <f t="shared" si="20"/>
        <v>0</v>
      </c>
      <c r="CH26" s="296" t="str">
        <f>IF(ISERROR(CG26/CG20),"",CG26/CG20)</f>
        <v/>
      </c>
      <c r="CI26" s="231">
        <f t="shared" si="21"/>
        <v>0</v>
      </c>
      <c r="CJ26" s="296" t="str">
        <f>IF(ISERROR(CI26/CI20),"",CI26/CI20)</f>
        <v/>
      </c>
      <c r="CK26" s="231">
        <f t="shared" si="22"/>
        <v>0</v>
      </c>
      <c r="CL26" s="102"/>
      <c r="CM26" s="100"/>
      <c r="CN26" s="512">
        <f>IF(ISERROR(CO26*CN20),"",CO26*CN20)</f>
        <v>0</v>
      </c>
      <c r="CO26" s="515"/>
      <c r="CP26" s="371"/>
      <c r="CQ26" s="359" t="str">
        <f>IF(ISERROR(CP26/CP20),"",CP26/CP20)</f>
        <v/>
      </c>
      <c r="CR26" s="358">
        <f t="shared" si="23"/>
        <v>0</v>
      </c>
      <c r="CS26" s="102"/>
      <c r="CT26" s="512">
        <f>IF(ISERROR(CU26*CT20),"",CU26*CT20)</f>
        <v>0</v>
      </c>
      <c r="CU26" s="515"/>
      <c r="CV26" s="371"/>
      <c r="CW26" s="359" t="str">
        <f>IF(ISERROR(CV26/CV20),"",CV26/CV20)</f>
        <v/>
      </c>
      <c r="CX26" s="358">
        <f t="shared" si="24"/>
        <v>0</v>
      </c>
      <c r="CY26" s="102"/>
      <c r="CZ26" s="512">
        <f>IF(ISERROR(DA26*CZ20),"",DA26*CZ20)</f>
        <v>0</v>
      </c>
      <c r="DA26" s="515"/>
      <c r="DB26" s="371"/>
      <c r="DC26" s="359" t="str">
        <f>IF(ISERROR(DB26/DB20),"",DB26/DB20)</f>
        <v/>
      </c>
      <c r="DD26" s="358">
        <f t="shared" si="25"/>
        <v>0</v>
      </c>
      <c r="DE26" s="102"/>
      <c r="DF26" s="286">
        <f t="shared" si="26"/>
        <v>0</v>
      </c>
      <c r="DG26" s="296" t="str">
        <f>IF(ISERROR(DF26/DF20),"",DF26/DF20)</f>
        <v/>
      </c>
      <c r="DH26" s="231">
        <f t="shared" si="27"/>
        <v>0</v>
      </c>
      <c r="DI26" s="296" t="str">
        <f>IF(ISERROR(DH26/DH20),"",DH26/DH20)</f>
        <v/>
      </c>
      <c r="DJ26" s="231">
        <f t="shared" si="28"/>
        <v>0</v>
      </c>
      <c r="DK26" s="8"/>
    </row>
    <row r="27" spans="1:115" s="3" customFormat="1" ht="21.75" customHeight="1" outlineLevel="1" x14ac:dyDescent="0.25">
      <c r="A27" s="80">
        <v>18</v>
      </c>
      <c r="B27" s="618"/>
      <c r="C27" s="761"/>
      <c r="D27" s="763"/>
      <c r="E27" s="783"/>
      <c r="F27" s="685" t="s">
        <v>45</v>
      </c>
      <c r="G27" s="641"/>
      <c r="H27" s="641"/>
      <c r="I27" s="642"/>
      <c r="J27" s="230">
        <f t="shared" si="0"/>
        <v>0</v>
      </c>
      <c r="K27" s="296" t="str">
        <f>IF(ISERROR(J27/J20),"",J27/J20)</f>
        <v/>
      </c>
      <c r="L27" s="231">
        <f t="shared" si="1"/>
        <v>0</v>
      </c>
      <c r="M27" s="296" t="str">
        <f>IF(ISERROR(L27/L20),"",L27/L20)</f>
        <v/>
      </c>
      <c r="N27" s="207">
        <f t="shared" si="2"/>
        <v>0</v>
      </c>
      <c r="O27" s="45" t="e">
        <f t="shared" si="3"/>
        <v>#VALUE!</v>
      </c>
      <c r="P27" s="47"/>
      <c r="Q27" s="512">
        <f>IF(ISERROR(R27*Q20),"",R27*Q20)</f>
        <v>0</v>
      </c>
      <c r="R27" s="515"/>
      <c r="S27" s="371"/>
      <c r="T27" s="359" t="str">
        <f>IF(ISERROR(S27/S20),"",S27/S20)</f>
        <v/>
      </c>
      <c r="U27" s="358">
        <f t="shared" si="4"/>
        <v>0</v>
      </c>
      <c r="V27" s="102"/>
      <c r="W27" s="512">
        <f>IF(ISERROR(X27*W20),"",X27*W20)</f>
        <v>0</v>
      </c>
      <c r="X27" s="515"/>
      <c r="Y27" s="371"/>
      <c r="Z27" s="359" t="str">
        <f>IF(ISERROR(Y27/Y20),"",Y27/Y20)</f>
        <v/>
      </c>
      <c r="AA27" s="358">
        <f t="shared" si="5"/>
        <v>0</v>
      </c>
      <c r="AB27" s="102"/>
      <c r="AC27" s="512">
        <f>IF(ISERROR(AD27*AC20),"",AD27*AC20)</f>
        <v>0</v>
      </c>
      <c r="AD27" s="515"/>
      <c r="AE27" s="371"/>
      <c r="AF27" s="359" t="str">
        <f>IF(ISERROR(AE27/AE20),"",AE27/AE20)</f>
        <v/>
      </c>
      <c r="AG27" s="358">
        <f t="shared" si="6"/>
        <v>0</v>
      </c>
      <c r="AH27" s="103" t="e">
        <f t="shared" si="7"/>
        <v>#VALUE!</v>
      </c>
      <c r="AI27" s="286">
        <f t="shared" si="8"/>
        <v>0</v>
      </c>
      <c r="AJ27" s="296" t="str">
        <f>IF(ISERROR(AI27/AI20),"",AI27/AI20)</f>
        <v/>
      </c>
      <c r="AK27" s="231">
        <f t="shared" si="9"/>
        <v>0</v>
      </c>
      <c r="AL27" s="296" t="str">
        <f>IF(ISERROR(AK27/AK20),"",AK27/AK20)</f>
        <v/>
      </c>
      <c r="AM27" s="231">
        <f t="shared" si="10"/>
        <v>0</v>
      </c>
      <c r="AN27" s="102"/>
      <c r="AO27" s="99"/>
      <c r="AP27" s="512">
        <f>IF(ISERROR(AQ27*AP20),"",AQ27*AP20)</f>
        <v>0</v>
      </c>
      <c r="AQ27" s="515"/>
      <c r="AR27" s="371"/>
      <c r="AS27" s="359" t="str">
        <f>IF(ISERROR(AR27/AR20),"",AR27/AR20)</f>
        <v/>
      </c>
      <c r="AT27" s="358">
        <f t="shared" si="11"/>
        <v>0</v>
      </c>
      <c r="AU27" s="102"/>
      <c r="AV27" s="512">
        <f>IF(ISERROR(AW27*AV20),"",AW27*AV20)</f>
        <v>0</v>
      </c>
      <c r="AW27" s="515"/>
      <c r="AX27" s="371"/>
      <c r="AY27" s="359" t="str">
        <f>IF(ISERROR(AX27/AX20),"",AX27/AX20)</f>
        <v/>
      </c>
      <c r="AZ27" s="358">
        <f t="shared" si="12"/>
        <v>0</v>
      </c>
      <c r="BA27" s="102"/>
      <c r="BB27" s="512">
        <f>IF(ISERROR(BC27*BB20),"",BC27*BB20)</f>
        <v>0</v>
      </c>
      <c r="BC27" s="515"/>
      <c r="BD27" s="371"/>
      <c r="BE27" s="359" t="str">
        <f>IF(ISERROR(BD27/BD20),"",BD27/BD20)</f>
        <v/>
      </c>
      <c r="BF27" s="358">
        <f t="shared" si="13"/>
        <v>0</v>
      </c>
      <c r="BG27" s="102"/>
      <c r="BH27" s="286">
        <f t="shared" si="14"/>
        <v>0</v>
      </c>
      <c r="BI27" s="296" t="str">
        <f>IF(ISERROR(BH27/BH20),"",BH27/BH20)</f>
        <v/>
      </c>
      <c r="BJ27" s="231">
        <f t="shared" si="15"/>
        <v>0</v>
      </c>
      <c r="BK27" s="296" t="str">
        <f>IF(ISERROR(BJ27/BJ20),"",BJ27/BJ20)</f>
        <v/>
      </c>
      <c r="BL27" s="231">
        <f t="shared" si="16"/>
        <v>0</v>
      </c>
      <c r="BM27" s="102"/>
      <c r="BN27" s="99"/>
      <c r="BO27" s="512">
        <f>IF(ISERROR(BP27*BO20),"",BP27*BO20)</f>
        <v>0</v>
      </c>
      <c r="BP27" s="515"/>
      <c r="BQ27" s="371"/>
      <c r="BR27" s="359" t="str">
        <f>IF(ISERROR(BQ27/BQ20),"",BQ27/BQ20)</f>
        <v/>
      </c>
      <c r="BS27" s="358">
        <f t="shared" si="17"/>
        <v>0</v>
      </c>
      <c r="BT27" s="102"/>
      <c r="BU27" s="512">
        <f>IF(ISERROR(BV27*BU20),"",BV27*BU20)</f>
        <v>0</v>
      </c>
      <c r="BV27" s="515"/>
      <c r="BW27" s="371"/>
      <c r="BX27" s="359" t="str">
        <f>IF(ISERROR(BW27/BW20),"",BW27/BW20)</f>
        <v/>
      </c>
      <c r="BY27" s="358">
        <f t="shared" si="18"/>
        <v>0</v>
      </c>
      <c r="BZ27" s="102"/>
      <c r="CA27" s="512">
        <f>IF(ISERROR(CB27*CA20),"",CB27*CA20)</f>
        <v>0</v>
      </c>
      <c r="CB27" s="515"/>
      <c r="CC27" s="371"/>
      <c r="CD27" s="359" t="str">
        <f>IF(ISERROR(CC27/CC20),"",CC27/CC20)</f>
        <v/>
      </c>
      <c r="CE27" s="358">
        <f t="shared" si="19"/>
        <v>0</v>
      </c>
      <c r="CF27" s="102"/>
      <c r="CG27" s="286">
        <f t="shared" si="20"/>
        <v>0</v>
      </c>
      <c r="CH27" s="296" t="str">
        <f>IF(ISERROR(CG27/CG20),"",CG27/CG20)</f>
        <v/>
      </c>
      <c r="CI27" s="231">
        <f t="shared" si="21"/>
        <v>0</v>
      </c>
      <c r="CJ27" s="296" t="str">
        <f>IF(ISERROR(CI27/CI20),"",CI27/CI20)</f>
        <v/>
      </c>
      <c r="CK27" s="231">
        <f t="shared" si="22"/>
        <v>0</v>
      </c>
      <c r="CL27" s="102"/>
      <c r="CM27" s="100"/>
      <c r="CN27" s="512">
        <f>IF(ISERROR(CO27*CN20),"",CO27*CN20)</f>
        <v>0</v>
      </c>
      <c r="CO27" s="515"/>
      <c r="CP27" s="371"/>
      <c r="CQ27" s="359" t="str">
        <f>IF(ISERROR(CP27/CP20),"",CP27/CP20)</f>
        <v/>
      </c>
      <c r="CR27" s="358">
        <f t="shared" si="23"/>
        <v>0</v>
      </c>
      <c r="CS27" s="102"/>
      <c r="CT27" s="512">
        <f>IF(ISERROR(CU27*CT20),"",CU27*CT20)</f>
        <v>0</v>
      </c>
      <c r="CU27" s="515"/>
      <c r="CV27" s="371"/>
      <c r="CW27" s="359" t="str">
        <f>IF(ISERROR(CV27/CV20),"",CV27/CV20)</f>
        <v/>
      </c>
      <c r="CX27" s="358">
        <f t="shared" si="24"/>
        <v>0</v>
      </c>
      <c r="CY27" s="102"/>
      <c r="CZ27" s="512">
        <f>IF(ISERROR(DA27*CZ20),"",DA27*CZ20)</f>
        <v>0</v>
      </c>
      <c r="DA27" s="515"/>
      <c r="DB27" s="371"/>
      <c r="DC27" s="359" t="str">
        <f>IF(ISERROR(DB27/DB20),"",DB27/DB20)</f>
        <v/>
      </c>
      <c r="DD27" s="358">
        <f t="shared" si="25"/>
        <v>0</v>
      </c>
      <c r="DE27" s="102"/>
      <c r="DF27" s="286">
        <f t="shared" si="26"/>
        <v>0</v>
      </c>
      <c r="DG27" s="296" t="str">
        <f>IF(ISERROR(DF27/DF20),"",DF27/DF20)</f>
        <v/>
      </c>
      <c r="DH27" s="231">
        <f t="shared" si="27"/>
        <v>0</v>
      </c>
      <c r="DI27" s="296" t="str">
        <f>IF(ISERROR(DH27/DH20),"",DH27/DH20)</f>
        <v/>
      </c>
      <c r="DJ27" s="231">
        <f t="shared" si="28"/>
        <v>0</v>
      </c>
      <c r="DK27" s="8"/>
    </row>
    <row r="28" spans="1:115" s="3" customFormat="1" ht="21.75" customHeight="1" outlineLevel="1" x14ac:dyDescent="0.25">
      <c r="A28" s="80">
        <v>19</v>
      </c>
      <c r="B28" s="618"/>
      <c r="C28" s="761"/>
      <c r="D28" s="763"/>
      <c r="E28" s="783"/>
      <c r="F28" s="685" t="s">
        <v>46</v>
      </c>
      <c r="G28" s="641"/>
      <c r="H28" s="641"/>
      <c r="I28" s="642"/>
      <c r="J28" s="230">
        <f t="shared" si="0"/>
        <v>0</v>
      </c>
      <c r="K28" s="296" t="str">
        <f>IF(ISERROR(J28/J20),"",J28/J20)</f>
        <v/>
      </c>
      <c r="L28" s="231">
        <f t="shared" si="1"/>
        <v>0</v>
      </c>
      <c r="M28" s="296" t="str">
        <f>IF(ISERROR(L28/L20),"",L28/L20)</f>
        <v/>
      </c>
      <c r="N28" s="207">
        <f t="shared" si="2"/>
        <v>0</v>
      </c>
      <c r="O28" s="45" t="e">
        <f t="shared" si="3"/>
        <v>#VALUE!</v>
      </c>
      <c r="P28" s="47"/>
      <c r="Q28" s="512">
        <f>IF(ISERROR(R28*Q20),"",R28*Q20)</f>
        <v>0</v>
      </c>
      <c r="R28" s="515"/>
      <c r="S28" s="371"/>
      <c r="T28" s="359" t="str">
        <f>IF(ISERROR(S28/S20),"",S28/S20)</f>
        <v/>
      </c>
      <c r="U28" s="358">
        <f t="shared" si="4"/>
        <v>0</v>
      </c>
      <c r="V28" s="102"/>
      <c r="W28" s="512">
        <f>IF(ISERROR(X28*W20),"",X28*W20)</f>
        <v>0</v>
      </c>
      <c r="X28" s="515"/>
      <c r="Y28" s="371"/>
      <c r="Z28" s="359" t="str">
        <f>IF(ISERROR(Y28/Y20),"",Y28/Y20)</f>
        <v/>
      </c>
      <c r="AA28" s="358">
        <f t="shared" si="5"/>
        <v>0</v>
      </c>
      <c r="AB28" s="102"/>
      <c r="AC28" s="512">
        <f>IF(ISERROR(AD28*AC20),"",AD28*AC20)</f>
        <v>0</v>
      </c>
      <c r="AD28" s="515"/>
      <c r="AE28" s="371"/>
      <c r="AF28" s="359" t="str">
        <f>IF(ISERROR(AE28/AE20),"",AE28/AE20)</f>
        <v/>
      </c>
      <c r="AG28" s="358">
        <f t="shared" si="6"/>
        <v>0</v>
      </c>
      <c r="AH28" s="103" t="e">
        <f t="shared" si="7"/>
        <v>#VALUE!</v>
      </c>
      <c r="AI28" s="286">
        <f t="shared" si="8"/>
        <v>0</v>
      </c>
      <c r="AJ28" s="296" t="str">
        <f>IF(ISERROR(AI28/AI20),"",AI28/AI20)</f>
        <v/>
      </c>
      <c r="AK28" s="231">
        <f t="shared" si="9"/>
        <v>0</v>
      </c>
      <c r="AL28" s="296" t="str">
        <f>IF(ISERROR(AK28/AK20),"",AK28/AK20)</f>
        <v/>
      </c>
      <c r="AM28" s="231">
        <f t="shared" si="10"/>
        <v>0</v>
      </c>
      <c r="AN28" s="102"/>
      <c r="AO28" s="99"/>
      <c r="AP28" s="512">
        <f>IF(ISERROR(AQ28*AP20),"",AQ28*AP20)</f>
        <v>0</v>
      </c>
      <c r="AQ28" s="515"/>
      <c r="AR28" s="371"/>
      <c r="AS28" s="359" t="str">
        <f>IF(ISERROR(AR28/AR20),"",AR28/AR20)</f>
        <v/>
      </c>
      <c r="AT28" s="358">
        <f t="shared" si="11"/>
        <v>0</v>
      </c>
      <c r="AU28" s="102"/>
      <c r="AV28" s="512">
        <f>IF(ISERROR(AW28*AV20),"",AW28*AV20)</f>
        <v>0</v>
      </c>
      <c r="AW28" s="515"/>
      <c r="AX28" s="371"/>
      <c r="AY28" s="359" t="str">
        <f>IF(ISERROR(AX28/AX20),"",AX28/AX20)</f>
        <v/>
      </c>
      <c r="AZ28" s="358">
        <f t="shared" si="12"/>
        <v>0</v>
      </c>
      <c r="BA28" s="102"/>
      <c r="BB28" s="512">
        <f>IF(ISERROR(BC28*BB20),"",BC28*BB20)</f>
        <v>0</v>
      </c>
      <c r="BC28" s="515"/>
      <c r="BD28" s="371"/>
      <c r="BE28" s="359" t="str">
        <f>IF(ISERROR(BD28/BD20),"",BD28/BD20)</f>
        <v/>
      </c>
      <c r="BF28" s="358">
        <f t="shared" si="13"/>
        <v>0</v>
      </c>
      <c r="BG28" s="102"/>
      <c r="BH28" s="286">
        <f t="shared" si="14"/>
        <v>0</v>
      </c>
      <c r="BI28" s="296" t="str">
        <f>IF(ISERROR(BH28/BH20),"",BH28/BH20)</f>
        <v/>
      </c>
      <c r="BJ28" s="231">
        <f t="shared" si="15"/>
        <v>0</v>
      </c>
      <c r="BK28" s="296" t="str">
        <f>IF(ISERROR(BJ28/BJ20),"",BJ28/BJ20)</f>
        <v/>
      </c>
      <c r="BL28" s="231">
        <f t="shared" si="16"/>
        <v>0</v>
      </c>
      <c r="BM28" s="102"/>
      <c r="BN28" s="99"/>
      <c r="BO28" s="512">
        <f>IF(ISERROR(BP28*BO20),"",BP28*BO20)</f>
        <v>0</v>
      </c>
      <c r="BP28" s="515"/>
      <c r="BQ28" s="371"/>
      <c r="BR28" s="359" t="str">
        <f>IF(ISERROR(BQ28/BQ20),"",BQ28/BQ20)</f>
        <v/>
      </c>
      <c r="BS28" s="358">
        <f t="shared" si="17"/>
        <v>0</v>
      </c>
      <c r="BT28" s="102"/>
      <c r="BU28" s="512">
        <f>IF(ISERROR(BV28*BU20),"",BV28*BU20)</f>
        <v>0</v>
      </c>
      <c r="BV28" s="515"/>
      <c r="BW28" s="371"/>
      <c r="BX28" s="359" t="str">
        <f>IF(ISERROR(BW28/BW20),"",BW28/BW20)</f>
        <v/>
      </c>
      <c r="BY28" s="358">
        <f t="shared" si="18"/>
        <v>0</v>
      </c>
      <c r="BZ28" s="102"/>
      <c r="CA28" s="512">
        <f>IF(ISERROR(CB28*CA20),"",CB28*CA20)</f>
        <v>0</v>
      </c>
      <c r="CB28" s="515"/>
      <c r="CC28" s="371"/>
      <c r="CD28" s="359" t="str">
        <f>IF(ISERROR(CC28/CC20),"",CC28/CC20)</f>
        <v/>
      </c>
      <c r="CE28" s="358">
        <f t="shared" si="19"/>
        <v>0</v>
      </c>
      <c r="CF28" s="102"/>
      <c r="CG28" s="286">
        <f t="shared" si="20"/>
        <v>0</v>
      </c>
      <c r="CH28" s="296" t="str">
        <f>IF(ISERROR(CG28/CG20),"",CG28/CG20)</f>
        <v/>
      </c>
      <c r="CI28" s="231">
        <f t="shared" si="21"/>
        <v>0</v>
      </c>
      <c r="CJ28" s="296" t="str">
        <f>IF(ISERROR(CI28/CI20),"",CI28/CI20)</f>
        <v/>
      </c>
      <c r="CK28" s="231">
        <f t="shared" si="22"/>
        <v>0</v>
      </c>
      <c r="CL28" s="102"/>
      <c r="CM28" s="100"/>
      <c r="CN28" s="512">
        <f>IF(ISERROR(CO28*CN20),"",CO28*CN20)</f>
        <v>0</v>
      </c>
      <c r="CO28" s="515"/>
      <c r="CP28" s="371"/>
      <c r="CQ28" s="359" t="str">
        <f>IF(ISERROR(CP28/CP20),"",CP28/CP20)</f>
        <v/>
      </c>
      <c r="CR28" s="358">
        <f t="shared" si="23"/>
        <v>0</v>
      </c>
      <c r="CS28" s="102"/>
      <c r="CT28" s="512">
        <f>IF(ISERROR(CU28*CT20),"",CU28*CT20)</f>
        <v>0</v>
      </c>
      <c r="CU28" s="515"/>
      <c r="CV28" s="371"/>
      <c r="CW28" s="359" t="str">
        <f>IF(ISERROR(CV28/CV20),"",CV28/CV20)</f>
        <v/>
      </c>
      <c r="CX28" s="358">
        <f t="shared" si="24"/>
        <v>0</v>
      </c>
      <c r="CY28" s="102"/>
      <c r="CZ28" s="512">
        <f>IF(ISERROR(DA28*CZ20),"",DA28*CZ20)</f>
        <v>0</v>
      </c>
      <c r="DA28" s="515"/>
      <c r="DB28" s="371"/>
      <c r="DC28" s="359" t="str">
        <f>IF(ISERROR(DB28/DB20),"",DB28/DB20)</f>
        <v/>
      </c>
      <c r="DD28" s="358">
        <f t="shared" si="25"/>
        <v>0</v>
      </c>
      <c r="DE28" s="102"/>
      <c r="DF28" s="286">
        <f t="shared" si="26"/>
        <v>0</v>
      </c>
      <c r="DG28" s="296" t="str">
        <f>IF(ISERROR(DF28/DF20),"",DF28/DF20)</f>
        <v/>
      </c>
      <c r="DH28" s="231">
        <f t="shared" si="27"/>
        <v>0</v>
      </c>
      <c r="DI28" s="296" t="str">
        <f>IF(ISERROR(DH28/DH20),"",DH28/DH20)</f>
        <v/>
      </c>
      <c r="DJ28" s="231">
        <f t="shared" si="28"/>
        <v>0</v>
      </c>
      <c r="DK28" s="8"/>
    </row>
    <row r="29" spans="1:115" s="3" customFormat="1" ht="21.75" customHeight="1" outlineLevel="1" x14ac:dyDescent="0.25">
      <c r="A29" s="80">
        <v>20</v>
      </c>
      <c r="B29" s="618"/>
      <c r="C29" s="761"/>
      <c r="D29" s="763"/>
      <c r="E29" s="783"/>
      <c r="F29" s="685" t="s">
        <v>47</v>
      </c>
      <c r="G29" s="641"/>
      <c r="H29" s="641"/>
      <c r="I29" s="642"/>
      <c r="J29" s="230">
        <f t="shared" si="0"/>
        <v>0</v>
      </c>
      <c r="K29" s="296" t="str">
        <f>IF(ISERROR(J29/J20),"",J29/J20)</f>
        <v/>
      </c>
      <c r="L29" s="231">
        <f t="shared" si="1"/>
        <v>0</v>
      </c>
      <c r="M29" s="296" t="str">
        <f>IF(ISERROR(L29/L20),"",L29/L20)</f>
        <v/>
      </c>
      <c r="N29" s="207">
        <f t="shared" si="2"/>
        <v>0</v>
      </c>
      <c r="O29" s="45" t="e">
        <f t="shared" si="3"/>
        <v>#VALUE!</v>
      </c>
      <c r="P29" s="47"/>
      <c r="Q29" s="512">
        <f>IF(ISERROR(R29*Q20),"",R29*Q20)</f>
        <v>0</v>
      </c>
      <c r="R29" s="515"/>
      <c r="S29" s="371"/>
      <c r="T29" s="359" t="str">
        <f>IF(ISERROR(S29/S20),"",S29/S20)</f>
        <v/>
      </c>
      <c r="U29" s="358">
        <f t="shared" si="4"/>
        <v>0</v>
      </c>
      <c r="V29" s="102"/>
      <c r="W29" s="512">
        <f>IF(ISERROR(X29*W20),"",X29*W20)</f>
        <v>0</v>
      </c>
      <c r="X29" s="515"/>
      <c r="Y29" s="371"/>
      <c r="Z29" s="359" t="str">
        <f>IF(ISERROR(Y29/Y20),"",Y29/Y20)</f>
        <v/>
      </c>
      <c r="AA29" s="358">
        <f t="shared" si="5"/>
        <v>0</v>
      </c>
      <c r="AB29" s="102"/>
      <c r="AC29" s="512">
        <f>IF(ISERROR(AD29*AC20),"",AD29*AC20)</f>
        <v>0</v>
      </c>
      <c r="AD29" s="515"/>
      <c r="AE29" s="371"/>
      <c r="AF29" s="359" t="str">
        <f>IF(ISERROR(AE29/AE20),"",AE29/AE20)</f>
        <v/>
      </c>
      <c r="AG29" s="358">
        <f t="shared" si="6"/>
        <v>0</v>
      </c>
      <c r="AH29" s="103" t="e">
        <f t="shared" si="7"/>
        <v>#VALUE!</v>
      </c>
      <c r="AI29" s="286">
        <f t="shared" si="8"/>
        <v>0</v>
      </c>
      <c r="AJ29" s="296" t="str">
        <f>IF(ISERROR(AI29/AI20),"",AI29/AI20)</f>
        <v/>
      </c>
      <c r="AK29" s="231">
        <f t="shared" si="9"/>
        <v>0</v>
      </c>
      <c r="AL29" s="296" t="str">
        <f>IF(ISERROR(AK29/AK20),"",AK29/AK20)</f>
        <v/>
      </c>
      <c r="AM29" s="231">
        <f t="shared" si="10"/>
        <v>0</v>
      </c>
      <c r="AN29" s="102"/>
      <c r="AO29" s="99"/>
      <c r="AP29" s="512">
        <f>IF(ISERROR(AQ29*AP20),"",AQ29*AP20)</f>
        <v>0</v>
      </c>
      <c r="AQ29" s="515"/>
      <c r="AR29" s="371"/>
      <c r="AS29" s="359" t="str">
        <f>IF(ISERROR(AR29/AR20),"",AR29/AR20)</f>
        <v/>
      </c>
      <c r="AT29" s="358">
        <f t="shared" si="11"/>
        <v>0</v>
      </c>
      <c r="AU29" s="102"/>
      <c r="AV29" s="512">
        <f>IF(ISERROR(AW29*AV20),"",AW29*AV20)</f>
        <v>0</v>
      </c>
      <c r="AW29" s="515"/>
      <c r="AX29" s="371"/>
      <c r="AY29" s="359" t="str">
        <f>IF(ISERROR(AX29/AX20),"",AX29/AX20)</f>
        <v/>
      </c>
      <c r="AZ29" s="358">
        <f t="shared" si="12"/>
        <v>0</v>
      </c>
      <c r="BA29" s="102"/>
      <c r="BB29" s="512">
        <f>IF(ISERROR(BC29*BB20),"",BC29*BB20)</f>
        <v>0</v>
      </c>
      <c r="BC29" s="515"/>
      <c r="BD29" s="371"/>
      <c r="BE29" s="359" t="str">
        <f>IF(ISERROR(BD29/BD20),"",BD29/BD20)</f>
        <v/>
      </c>
      <c r="BF29" s="358">
        <f t="shared" si="13"/>
        <v>0</v>
      </c>
      <c r="BG29" s="102"/>
      <c r="BH29" s="286">
        <f t="shared" si="14"/>
        <v>0</v>
      </c>
      <c r="BI29" s="296" t="str">
        <f>IF(ISERROR(BH29/BH20),"",BH29/BH20)</f>
        <v/>
      </c>
      <c r="BJ29" s="231">
        <f t="shared" si="15"/>
        <v>0</v>
      </c>
      <c r="BK29" s="296" t="str">
        <f>IF(ISERROR(BJ29/BJ20),"",BJ29/BJ20)</f>
        <v/>
      </c>
      <c r="BL29" s="231">
        <f t="shared" si="16"/>
        <v>0</v>
      </c>
      <c r="BM29" s="102"/>
      <c r="BN29" s="99"/>
      <c r="BO29" s="512">
        <f>IF(ISERROR(BP29*BO20),"",BP29*BO20)</f>
        <v>0</v>
      </c>
      <c r="BP29" s="515"/>
      <c r="BQ29" s="371"/>
      <c r="BR29" s="359" t="str">
        <f>IF(ISERROR(BQ29/BQ20),"",BQ29/BQ20)</f>
        <v/>
      </c>
      <c r="BS29" s="358">
        <f t="shared" si="17"/>
        <v>0</v>
      </c>
      <c r="BT29" s="102"/>
      <c r="BU29" s="512">
        <f>IF(ISERROR(BV29*BU20),"",BV29*BU20)</f>
        <v>0</v>
      </c>
      <c r="BV29" s="515"/>
      <c r="BW29" s="371"/>
      <c r="BX29" s="359" t="str">
        <f>IF(ISERROR(BW29/BW20),"",BW29/BW20)</f>
        <v/>
      </c>
      <c r="BY29" s="358">
        <f t="shared" si="18"/>
        <v>0</v>
      </c>
      <c r="BZ29" s="102"/>
      <c r="CA29" s="512">
        <f>IF(ISERROR(CB29*CA20),"",CB29*CA20)</f>
        <v>0</v>
      </c>
      <c r="CB29" s="515"/>
      <c r="CC29" s="371"/>
      <c r="CD29" s="359" t="str">
        <f>IF(ISERROR(CC29/CC20),"",CC29/CC20)</f>
        <v/>
      </c>
      <c r="CE29" s="358">
        <f t="shared" si="19"/>
        <v>0</v>
      </c>
      <c r="CF29" s="102"/>
      <c r="CG29" s="286">
        <f t="shared" si="20"/>
        <v>0</v>
      </c>
      <c r="CH29" s="296" t="str">
        <f>IF(ISERROR(CG29/CG20),"",CG29/CG20)</f>
        <v/>
      </c>
      <c r="CI29" s="231">
        <f t="shared" si="21"/>
        <v>0</v>
      </c>
      <c r="CJ29" s="296" t="str">
        <f>IF(ISERROR(CI29/CI20),"",CI29/CI20)</f>
        <v/>
      </c>
      <c r="CK29" s="231">
        <f t="shared" si="22"/>
        <v>0</v>
      </c>
      <c r="CL29" s="102"/>
      <c r="CM29" s="100"/>
      <c r="CN29" s="512">
        <f>IF(ISERROR(CO29*CN20),"",CO29*CN20)</f>
        <v>0</v>
      </c>
      <c r="CO29" s="515"/>
      <c r="CP29" s="371"/>
      <c r="CQ29" s="359" t="str">
        <f>IF(ISERROR(CP29/CP20),"",CP29/CP20)</f>
        <v/>
      </c>
      <c r="CR29" s="358">
        <f t="shared" si="23"/>
        <v>0</v>
      </c>
      <c r="CS29" s="102"/>
      <c r="CT29" s="512">
        <f>IF(ISERROR(CU29*CT20),"",CU29*CT20)</f>
        <v>0</v>
      </c>
      <c r="CU29" s="515"/>
      <c r="CV29" s="371"/>
      <c r="CW29" s="359" t="str">
        <f>IF(ISERROR(CV29/CV20),"",CV29/CV20)</f>
        <v/>
      </c>
      <c r="CX29" s="358">
        <f t="shared" si="24"/>
        <v>0</v>
      </c>
      <c r="CY29" s="102"/>
      <c r="CZ29" s="512">
        <f>IF(ISERROR(DA29*CZ20),"",DA29*CZ20)</f>
        <v>0</v>
      </c>
      <c r="DA29" s="515"/>
      <c r="DB29" s="371"/>
      <c r="DC29" s="359" t="str">
        <f>IF(ISERROR(DB29/DB20),"",DB29/DB20)</f>
        <v/>
      </c>
      <c r="DD29" s="358">
        <f t="shared" si="25"/>
        <v>0</v>
      </c>
      <c r="DE29" s="102"/>
      <c r="DF29" s="286">
        <f t="shared" si="26"/>
        <v>0</v>
      </c>
      <c r="DG29" s="296" t="str">
        <f>IF(ISERROR(DF29/DF20),"",DF29/DF20)</f>
        <v/>
      </c>
      <c r="DH29" s="231">
        <f t="shared" si="27"/>
        <v>0</v>
      </c>
      <c r="DI29" s="296" t="str">
        <f>IF(ISERROR(DH29/DH20),"",DH29/DH20)</f>
        <v/>
      </c>
      <c r="DJ29" s="231">
        <f t="shared" si="28"/>
        <v>0</v>
      </c>
      <c r="DK29" s="8"/>
    </row>
    <row r="30" spans="1:115" s="3" customFormat="1" ht="21.75" customHeight="1" outlineLevel="1" thickBot="1" x14ac:dyDescent="0.3">
      <c r="A30" s="80">
        <v>21</v>
      </c>
      <c r="B30" s="618"/>
      <c r="C30" s="761"/>
      <c r="D30" s="763"/>
      <c r="E30" s="784"/>
      <c r="F30" s="686" t="s">
        <v>48</v>
      </c>
      <c r="G30" s="687"/>
      <c r="H30" s="687"/>
      <c r="I30" s="688"/>
      <c r="J30" s="230">
        <f t="shared" si="0"/>
        <v>0</v>
      </c>
      <c r="K30" s="296" t="str">
        <f>IF(ISERROR(J30/J20),"",J30/J20)</f>
        <v/>
      </c>
      <c r="L30" s="231">
        <f t="shared" si="1"/>
        <v>0</v>
      </c>
      <c r="M30" s="296" t="str">
        <f>IF(ISERROR(L30/L20),"",L30/L20)</f>
        <v/>
      </c>
      <c r="N30" s="207">
        <f t="shared" si="2"/>
        <v>0</v>
      </c>
      <c r="O30" s="45" t="e">
        <f t="shared" si="3"/>
        <v>#VALUE!</v>
      </c>
      <c r="P30" s="47"/>
      <c r="Q30" s="512">
        <f>IF(ISERROR(R30*Q20),"",R30*Q20)</f>
        <v>0</v>
      </c>
      <c r="R30" s="516"/>
      <c r="S30" s="371"/>
      <c r="T30" s="359" t="str">
        <f>IF(ISERROR(S30/S20),"",S30/S20)</f>
        <v/>
      </c>
      <c r="U30" s="358">
        <f t="shared" si="4"/>
        <v>0</v>
      </c>
      <c r="V30" s="102"/>
      <c r="W30" s="512">
        <f>IF(ISERROR(X30*W20),"",X30*W20)</f>
        <v>0</v>
      </c>
      <c r="X30" s="516"/>
      <c r="Y30" s="371"/>
      <c r="Z30" s="359" t="str">
        <f>IF(ISERROR(Y30/Y20),"",Y30/Y20)</f>
        <v/>
      </c>
      <c r="AA30" s="358">
        <f t="shared" si="5"/>
        <v>0</v>
      </c>
      <c r="AB30" s="102"/>
      <c r="AC30" s="512">
        <f>IF(ISERROR(AD30*AC20),"",AD30*AC20)</f>
        <v>0</v>
      </c>
      <c r="AD30" s="516"/>
      <c r="AE30" s="371"/>
      <c r="AF30" s="359" t="str">
        <f>IF(ISERROR(AE30/AE20),"",AE30/AE20)</f>
        <v/>
      </c>
      <c r="AG30" s="358">
        <f t="shared" si="6"/>
        <v>0</v>
      </c>
      <c r="AH30" s="103" t="e">
        <f t="shared" si="7"/>
        <v>#VALUE!</v>
      </c>
      <c r="AI30" s="286">
        <f t="shared" si="8"/>
        <v>0</v>
      </c>
      <c r="AJ30" s="296" t="str">
        <f>IF(ISERROR(AI30/AI20),"",AI30/AI20)</f>
        <v/>
      </c>
      <c r="AK30" s="231">
        <f t="shared" si="9"/>
        <v>0</v>
      </c>
      <c r="AL30" s="296" t="str">
        <f>IF(ISERROR(AK30/AK20),"",AK30/AK20)</f>
        <v/>
      </c>
      <c r="AM30" s="231">
        <f t="shared" si="10"/>
        <v>0</v>
      </c>
      <c r="AN30" s="102"/>
      <c r="AO30" s="99"/>
      <c r="AP30" s="512">
        <f>IF(ISERROR(AQ30*AP20),"",AQ30*AP20)</f>
        <v>0</v>
      </c>
      <c r="AQ30" s="516"/>
      <c r="AR30" s="371"/>
      <c r="AS30" s="359" t="str">
        <f>IF(ISERROR(AR30/AR20),"",AR30/AR20)</f>
        <v/>
      </c>
      <c r="AT30" s="358">
        <f t="shared" si="11"/>
        <v>0</v>
      </c>
      <c r="AU30" s="102"/>
      <c r="AV30" s="512">
        <f>IF(ISERROR(AW30*AV20),"",AW30*AV20)</f>
        <v>0</v>
      </c>
      <c r="AW30" s="516"/>
      <c r="AX30" s="371"/>
      <c r="AY30" s="359" t="str">
        <f>IF(ISERROR(AX30/AX20),"",AX30/AX20)</f>
        <v/>
      </c>
      <c r="AZ30" s="358">
        <f t="shared" si="12"/>
        <v>0</v>
      </c>
      <c r="BA30" s="102"/>
      <c r="BB30" s="512">
        <f>IF(ISERROR(BC30*BB20),"",BC30*BB20)</f>
        <v>0</v>
      </c>
      <c r="BC30" s="516"/>
      <c r="BD30" s="371"/>
      <c r="BE30" s="359" t="str">
        <f>IF(ISERROR(BD30/BD20),"",BD30/BD20)</f>
        <v/>
      </c>
      <c r="BF30" s="358">
        <f t="shared" si="13"/>
        <v>0</v>
      </c>
      <c r="BG30" s="102"/>
      <c r="BH30" s="286">
        <f t="shared" si="14"/>
        <v>0</v>
      </c>
      <c r="BI30" s="296" t="str">
        <f>IF(ISERROR(BH30/BH20),"",BH30/BH20)</f>
        <v/>
      </c>
      <c r="BJ30" s="231">
        <f t="shared" si="15"/>
        <v>0</v>
      </c>
      <c r="BK30" s="296" t="str">
        <f>IF(ISERROR(BJ30/BJ20),"",BJ30/BJ20)</f>
        <v/>
      </c>
      <c r="BL30" s="231">
        <f t="shared" si="16"/>
        <v>0</v>
      </c>
      <c r="BM30" s="102"/>
      <c r="BN30" s="99"/>
      <c r="BO30" s="512">
        <f>IF(ISERROR(BP30*BO20),"",BP30*BO20)</f>
        <v>0</v>
      </c>
      <c r="BP30" s="516"/>
      <c r="BQ30" s="371"/>
      <c r="BR30" s="359" t="str">
        <f>IF(ISERROR(BQ30/BQ20),"",BQ30/BQ20)</f>
        <v/>
      </c>
      <c r="BS30" s="358">
        <f t="shared" si="17"/>
        <v>0</v>
      </c>
      <c r="BT30" s="102"/>
      <c r="BU30" s="512">
        <f>IF(ISERROR(BV30*BU20),"",BV30*BU20)</f>
        <v>0</v>
      </c>
      <c r="BV30" s="516"/>
      <c r="BW30" s="371"/>
      <c r="BX30" s="359" t="str">
        <f>IF(ISERROR(BW30/BW20),"",BW30/BW20)</f>
        <v/>
      </c>
      <c r="BY30" s="358">
        <f t="shared" si="18"/>
        <v>0</v>
      </c>
      <c r="BZ30" s="102"/>
      <c r="CA30" s="512">
        <f>IF(ISERROR(CB30*CA20),"",CB30*CA20)</f>
        <v>0</v>
      </c>
      <c r="CB30" s="516"/>
      <c r="CC30" s="371"/>
      <c r="CD30" s="359" t="str">
        <f>IF(ISERROR(CC30/CC20),"",CC30/CC20)</f>
        <v/>
      </c>
      <c r="CE30" s="358">
        <f t="shared" si="19"/>
        <v>0</v>
      </c>
      <c r="CF30" s="102"/>
      <c r="CG30" s="286">
        <f t="shared" si="20"/>
        <v>0</v>
      </c>
      <c r="CH30" s="296" t="str">
        <f>IF(ISERROR(CG30/CG20),"",CG30/CG20)</f>
        <v/>
      </c>
      <c r="CI30" s="231">
        <f t="shared" si="21"/>
        <v>0</v>
      </c>
      <c r="CJ30" s="296" t="str">
        <f>IF(ISERROR(CI30/CI20),"",CI30/CI20)</f>
        <v/>
      </c>
      <c r="CK30" s="231">
        <f t="shared" si="22"/>
        <v>0</v>
      </c>
      <c r="CL30" s="102"/>
      <c r="CM30" s="100"/>
      <c r="CN30" s="512">
        <f>IF(ISERROR(CO30*CN20),"",CO30*CN20)</f>
        <v>0</v>
      </c>
      <c r="CO30" s="516"/>
      <c r="CP30" s="371"/>
      <c r="CQ30" s="359" t="str">
        <f>IF(ISERROR(CP30/CP20),"",CP30/CP20)</f>
        <v/>
      </c>
      <c r="CR30" s="358">
        <f t="shared" si="23"/>
        <v>0</v>
      </c>
      <c r="CS30" s="102"/>
      <c r="CT30" s="512">
        <f>IF(ISERROR(CU30*CT20),"",CU30*CT20)</f>
        <v>0</v>
      </c>
      <c r="CU30" s="516"/>
      <c r="CV30" s="371"/>
      <c r="CW30" s="359" t="str">
        <f>IF(ISERROR(CV30/CV20),"",CV30/CV20)</f>
        <v/>
      </c>
      <c r="CX30" s="358">
        <f t="shared" si="24"/>
        <v>0</v>
      </c>
      <c r="CY30" s="102"/>
      <c r="CZ30" s="512">
        <f>IF(ISERROR(DA30*CZ20),"",DA30*CZ20)</f>
        <v>0</v>
      </c>
      <c r="DA30" s="516"/>
      <c r="DB30" s="371"/>
      <c r="DC30" s="359" t="str">
        <f>IF(ISERROR(DB30/DB20),"",DB30/DB20)</f>
        <v/>
      </c>
      <c r="DD30" s="358">
        <f t="shared" si="25"/>
        <v>0</v>
      </c>
      <c r="DE30" s="102"/>
      <c r="DF30" s="286">
        <f t="shared" si="26"/>
        <v>0</v>
      </c>
      <c r="DG30" s="296" t="str">
        <f>IF(ISERROR(DF30/DF20),"",DF30/DF20)</f>
        <v/>
      </c>
      <c r="DH30" s="231">
        <f t="shared" si="27"/>
        <v>0</v>
      </c>
      <c r="DI30" s="296" t="str">
        <f>IF(ISERROR(DH30/DH20),"",DH30/DH20)</f>
        <v/>
      </c>
      <c r="DJ30" s="231">
        <f t="shared" si="28"/>
        <v>0</v>
      </c>
      <c r="DK30" s="8"/>
    </row>
    <row r="31" spans="1:115" s="3" customFormat="1" ht="21.75" customHeight="1" outlineLevel="1" thickTop="1" thickBot="1" x14ac:dyDescent="0.3">
      <c r="A31" s="80">
        <v>22</v>
      </c>
      <c r="B31" s="618"/>
      <c r="C31" s="761"/>
      <c r="D31" s="763"/>
      <c r="E31" s="771" t="s">
        <v>49</v>
      </c>
      <c r="F31" s="772"/>
      <c r="G31" s="772"/>
      <c r="H31" s="772"/>
      <c r="I31" s="773"/>
      <c r="J31" s="238">
        <f t="shared" si="0"/>
        <v>0</v>
      </c>
      <c r="K31" s="278" t="str">
        <f>IF(ISERROR(J31/J20),"",J31/J20)</f>
        <v/>
      </c>
      <c r="L31" s="239">
        <f t="shared" si="1"/>
        <v>0</v>
      </c>
      <c r="M31" s="278" t="str">
        <f>IF(ISERROR(L31/L20),"",L31/L20)</f>
        <v/>
      </c>
      <c r="N31" s="211">
        <f t="shared" si="2"/>
        <v>0</v>
      </c>
      <c r="O31" s="50" t="e">
        <f t="shared" si="3"/>
        <v>#VALUE!</v>
      </c>
      <c r="P31" s="47"/>
      <c r="Q31" s="238">
        <f>SUM(Q25:Q29)-Q30</f>
        <v>0</v>
      </c>
      <c r="R31" s="282" t="str">
        <f>IF(ISERROR(Q31/Q20),"",Q31/Q20)</f>
        <v/>
      </c>
      <c r="S31" s="373">
        <f>SUM(S25:S29)-S30</f>
        <v>0</v>
      </c>
      <c r="T31" s="374" t="str">
        <f>IF(ISERROR(S31/S20),"",S31/S20)</f>
        <v/>
      </c>
      <c r="U31" s="373">
        <f t="shared" si="4"/>
        <v>0</v>
      </c>
      <c r="V31" s="113"/>
      <c r="W31" s="238">
        <f>SUM(W25:W29)-W30</f>
        <v>0</v>
      </c>
      <c r="X31" s="282" t="str">
        <f>IF(ISERROR(W31/W20),"",W31/W20)</f>
        <v/>
      </c>
      <c r="Y31" s="373">
        <f>SUM(Y25:Y29)-Y30</f>
        <v>0</v>
      </c>
      <c r="Z31" s="374" t="str">
        <f>IF(ISERROR(Y31/Y20),"",Y31/Y20)</f>
        <v/>
      </c>
      <c r="AA31" s="373">
        <f t="shared" si="5"/>
        <v>0</v>
      </c>
      <c r="AB31" s="113"/>
      <c r="AC31" s="238">
        <f>SUM(AC25:AC29)-AC30</f>
        <v>0</v>
      </c>
      <c r="AD31" s="282" t="str">
        <f>IF(ISERROR(AC31/AC20),"",AC31/AC20)</f>
        <v/>
      </c>
      <c r="AE31" s="373">
        <f>SUM(AE25:AE29)-AE30</f>
        <v>0</v>
      </c>
      <c r="AF31" s="374" t="str">
        <f>IF(ISERROR(AE31/AE20),"",AE31/AE20)</f>
        <v/>
      </c>
      <c r="AG31" s="373">
        <f t="shared" si="6"/>
        <v>0</v>
      </c>
      <c r="AH31" s="112" t="e">
        <f t="shared" si="7"/>
        <v>#VALUE!</v>
      </c>
      <c r="AI31" s="238">
        <f t="shared" si="8"/>
        <v>0</v>
      </c>
      <c r="AJ31" s="278" t="str">
        <f>IF(ISERROR(AI31/AI20),"",AI31/AI20)</f>
        <v/>
      </c>
      <c r="AK31" s="239">
        <f t="shared" si="9"/>
        <v>0</v>
      </c>
      <c r="AL31" s="278" t="str">
        <f>IF(ISERROR(AK31/AK20),"",AK31/AK20)</f>
        <v/>
      </c>
      <c r="AM31" s="239">
        <f t="shared" si="10"/>
        <v>0</v>
      </c>
      <c r="AN31" s="113"/>
      <c r="AO31" s="99"/>
      <c r="AP31" s="238">
        <f>SUM(AP25:AP29)-AP30</f>
        <v>0</v>
      </c>
      <c r="AQ31" s="282" t="str">
        <f>IF(ISERROR(AP31/AP20),"",AP31/AP20)</f>
        <v/>
      </c>
      <c r="AR31" s="373">
        <f>SUM(AR25:AR29)-AR30</f>
        <v>0</v>
      </c>
      <c r="AS31" s="374" t="str">
        <f>IF(ISERROR(AR31/AR20),"",AR31/AR20)</f>
        <v/>
      </c>
      <c r="AT31" s="373">
        <f t="shared" si="11"/>
        <v>0</v>
      </c>
      <c r="AU31" s="113"/>
      <c r="AV31" s="238">
        <f>SUM(AV25:AV29)-AV30</f>
        <v>0</v>
      </c>
      <c r="AW31" s="282" t="str">
        <f>IF(ISERROR(AV31/AV20),"",AV31/AV20)</f>
        <v/>
      </c>
      <c r="AX31" s="373">
        <f>SUM(AX25:AX29)-AX30</f>
        <v>0</v>
      </c>
      <c r="AY31" s="374" t="str">
        <f>IF(ISERROR(AX31/AX20),"",AX31/AX20)</f>
        <v/>
      </c>
      <c r="AZ31" s="373">
        <f t="shared" si="12"/>
        <v>0</v>
      </c>
      <c r="BA31" s="113"/>
      <c r="BB31" s="238">
        <f>SUM(BB25:BB29)-BB30</f>
        <v>0</v>
      </c>
      <c r="BC31" s="282" t="str">
        <f>IF(ISERROR(BB31/BB20),"",BB31/BB20)</f>
        <v/>
      </c>
      <c r="BD31" s="373">
        <f>SUM(BD25:BD29)-BD30</f>
        <v>0</v>
      </c>
      <c r="BE31" s="374" t="str">
        <f>IF(ISERROR(BD31/BD20),"",BD31/BD20)</f>
        <v/>
      </c>
      <c r="BF31" s="373">
        <f t="shared" si="13"/>
        <v>0</v>
      </c>
      <c r="BG31" s="113"/>
      <c r="BH31" s="238">
        <f t="shared" si="14"/>
        <v>0</v>
      </c>
      <c r="BI31" s="278" t="str">
        <f>IF(ISERROR(BH31/BH20),"",BH31/BH20)</f>
        <v/>
      </c>
      <c r="BJ31" s="239">
        <f t="shared" si="15"/>
        <v>0</v>
      </c>
      <c r="BK31" s="278" t="str">
        <f>IF(ISERROR(BJ31/BJ20),"",BJ31/BJ20)</f>
        <v/>
      </c>
      <c r="BL31" s="239">
        <f t="shared" si="16"/>
        <v>0</v>
      </c>
      <c r="BM31" s="113"/>
      <c r="BN31" s="99"/>
      <c r="BO31" s="238">
        <f>SUM(BO25:BO29)-BO30</f>
        <v>0</v>
      </c>
      <c r="BP31" s="282" t="str">
        <f>IF(ISERROR(BO31/BO20),"",BO31/BO20)</f>
        <v/>
      </c>
      <c r="BQ31" s="373">
        <f>SUM(BQ25:BQ29)-BQ30</f>
        <v>0</v>
      </c>
      <c r="BR31" s="374" t="str">
        <f>IF(ISERROR(BQ31/BQ20),"",BQ31/BQ20)</f>
        <v/>
      </c>
      <c r="BS31" s="373">
        <f t="shared" si="17"/>
        <v>0</v>
      </c>
      <c r="BT31" s="113"/>
      <c r="BU31" s="238">
        <f>SUM(BU25:BU29)-BU30</f>
        <v>0</v>
      </c>
      <c r="BV31" s="282" t="str">
        <f>IF(ISERROR(BU31/BU20),"",BU31/BU20)</f>
        <v/>
      </c>
      <c r="BW31" s="373">
        <f>SUM(BW25:BW29)-BW30</f>
        <v>0</v>
      </c>
      <c r="BX31" s="374" t="str">
        <f>IF(ISERROR(BW31/BW20),"",BW31/BW20)</f>
        <v/>
      </c>
      <c r="BY31" s="373">
        <f t="shared" si="18"/>
        <v>0</v>
      </c>
      <c r="BZ31" s="113"/>
      <c r="CA31" s="238">
        <f>SUM(CA25:CA29)-CA30</f>
        <v>0</v>
      </c>
      <c r="CB31" s="282" t="str">
        <f>IF(ISERROR(CA31/CA20),"",CA31/CA20)</f>
        <v/>
      </c>
      <c r="CC31" s="373">
        <f>SUM(CC25:CC29)-CC30</f>
        <v>0</v>
      </c>
      <c r="CD31" s="374" t="str">
        <f>IF(ISERROR(CC31/CC20),"",CC31/CC20)</f>
        <v/>
      </c>
      <c r="CE31" s="373">
        <f t="shared" si="19"/>
        <v>0</v>
      </c>
      <c r="CF31" s="113"/>
      <c r="CG31" s="238">
        <f t="shared" si="20"/>
        <v>0</v>
      </c>
      <c r="CH31" s="278" t="str">
        <f>IF(ISERROR(CG31/CG20),"",CG31/CG20)</f>
        <v/>
      </c>
      <c r="CI31" s="239">
        <f t="shared" si="21"/>
        <v>0</v>
      </c>
      <c r="CJ31" s="278" t="str">
        <f>IF(ISERROR(CI31/CI20),"",CI31/CI20)</f>
        <v/>
      </c>
      <c r="CK31" s="239">
        <f t="shared" si="22"/>
        <v>0</v>
      </c>
      <c r="CL31" s="113"/>
      <c r="CM31" s="100"/>
      <c r="CN31" s="238">
        <f>SUM(CN25:CN29)-CN30</f>
        <v>0</v>
      </c>
      <c r="CO31" s="282" t="str">
        <f>IF(ISERROR(CN31/CN20),"",CN31/CN20)</f>
        <v/>
      </c>
      <c r="CP31" s="373">
        <f>SUM(CP25:CP29)-CP30</f>
        <v>0</v>
      </c>
      <c r="CQ31" s="374" t="str">
        <f>IF(ISERROR(CP31/CP20),"",CP31/CP20)</f>
        <v/>
      </c>
      <c r="CR31" s="373">
        <f t="shared" si="23"/>
        <v>0</v>
      </c>
      <c r="CS31" s="113"/>
      <c r="CT31" s="238">
        <f>SUM(CT25:CT29)-CT30</f>
        <v>0</v>
      </c>
      <c r="CU31" s="282" t="str">
        <f>IF(ISERROR(CT31/CT20),"",CT31/CT20)</f>
        <v/>
      </c>
      <c r="CV31" s="373">
        <f>SUM(CV25:CV29)-CV30</f>
        <v>0</v>
      </c>
      <c r="CW31" s="374" t="str">
        <f>IF(ISERROR(CV31/CV20),"",CV31/CV20)</f>
        <v/>
      </c>
      <c r="CX31" s="373">
        <f t="shared" si="24"/>
        <v>0</v>
      </c>
      <c r="CY31" s="113"/>
      <c r="CZ31" s="238">
        <f>SUM(CZ25:CZ29)-CZ30</f>
        <v>0</v>
      </c>
      <c r="DA31" s="282" t="str">
        <f>IF(ISERROR(CZ31/CZ20),"",CZ31/CZ20)</f>
        <v/>
      </c>
      <c r="DB31" s="373">
        <f>SUM(DB25:DB29)-DB30</f>
        <v>0</v>
      </c>
      <c r="DC31" s="374" t="str">
        <f>IF(ISERROR(DB31/DB20),"",DB31/DB20)</f>
        <v/>
      </c>
      <c r="DD31" s="373">
        <f t="shared" si="25"/>
        <v>0</v>
      </c>
      <c r="DE31" s="113"/>
      <c r="DF31" s="238">
        <f t="shared" si="26"/>
        <v>0</v>
      </c>
      <c r="DG31" s="278" t="str">
        <f>IF(ISERROR(DF31/DF20),"",DF31/DF20)</f>
        <v/>
      </c>
      <c r="DH31" s="239">
        <f t="shared" si="27"/>
        <v>0</v>
      </c>
      <c r="DI31" s="278" t="str">
        <f>IF(ISERROR(DH31/DH20),"",DH31/DH20)</f>
        <v/>
      </c>
      <c r="DJ31" s="239">
        <f t="shared" si="28"/>
        <v>0</v>
      </c>
      <c r="DK31" s="12"/>
    </row>
    <row r="32" spans="1:115" s="3" customFormat="1" ht="21.75" customHeight="1" outlineLevel="1" thickTop="1" x14ac:dyDescent="0.25">
      <c r="A32" s="80">
        <v>23</v>
      </c>
      <c r="B32" s="618"/>
      <c r="C32" s="761"/>
      <c r="D32" s="763"/>
      <c r="E32" s="646" t="s">
        <v>50</v>
      </c>
      <c r="F32" s="649" t="s">
        <v>51</v>
      </c>
      <c r="G32" s="607"/>
      <c r="H32" s="607"/>
      <c r="I32" s="608"/>
      <c r="J32" s="228">
        <f t="shared" si="0"/>
        <v>0</v>
      </c>
      <c r="K32" s="295" t="str">
        <f>IF(ISERROR(J32/J20),"",J32/J20)</f>
        <v/>
      </c>
      <c r="L32" s="229">
        <f t="shared" si="1"/>
        <v>0</v>
      </c>
      <c r="M32" s="295" t="str">
        <f>IF(ISERROR(L32/L20),"",L32/L20)</f>
        <v/>
      </c>
      <c r="N32" s="206">
        <f t="shared" si="2"/>
        <v>0</v>
      </c>
      <c r="O32" s="43" t="e">
        <f t="shared" si="3"/>
        <v>#VALUE!</v>
      </c>
      <c r="P32" s="47"/>
      <c r="Q32" s="512">
        <f>IF(ISERROR(R32*Q20),"",R32*Q20)</f>
        <v>0</v>
      </c>
      <c r="R32" s="517"/>
      <c r="S32" s="375"/>
      <c r="T32" s="356" t="str">
        <f>IF(ISERROR(S32/S20),"",S32/S20)</f>
        <v/>
      </c>
      <c r="U32" s="355">
        <f t="shared" si="4"/>
        <v>0</v>
      </c>
      <c r="V32" s="96"/>
      <c r="W32" s="512">
        <f>IF(ISERROR(X32*W20),"",X32*W20)</f>
        <v>0</v>
      </c>
      <c r="X32" s="517"/>
      <c r="Y32" s="375"/>
      <c r="Z32" s="356" t="str">
        <f>IF(ISERROR(Y32/Y20),"",Y32/Y20)</f>
        <v/>
      </c>
      <c r="AA32" s="355">
        <f t="shared" si="5"/>
        <v>0</v>
      </c>
      <c r="AB32" s="96"/>
      <c r="AC32" s="512">
        <f>IF(ISERROR(AD32*AC20),"",AD32*AC20)</f>
        <v>0</v>
      </c>
      <c r="AD32" s="517"/>
      <c r="AE32" s="375"/>
      <c r="AF32" s="356" t="str">
        <f>IF(ISERROR(AE32/AE20),"",AE32/AE20)</f>
        <v/>
      </c>
      <c r="AG32" s="355">
        <f t="shared" si="6"/>
        <v>0</v>
      </c>
      <c r="AH32" s="97" t="e">
        <f t="shared" si="7"/>
        <v>#VALUE!</v>
      </c>
      <c r="AI32" s="285">
        <f t="shared" si="8"/>
        <v>0</v>
      </c>
      <c r="AJ32" s="295" t="str">
        <f>IF(ISERROR(AI32/AI20),"",AI32/AI20)</f>
        <v/>
      </c>
      <c r="AK32" s="229">
        <f t="shared" si="9"/>
        <v>0</v>
      </c>
      <c r="AL32" s="295" t="str">
        <f>IF(ISERROR(AK32/AK20),"",AK32/AK20)</f>
        <v/>
      </c>
      <c r="AM32" s="229">
        <f t="shared" si="10"/>
        <v>0</v>
      </c>
      <c r="AN32" s="96"/>
      <c r="AO32" s="99"/>
      <c r="AP32" s="512">
        <f>IF(ISERROR(AQ32*AP20),"",AQ32*AP20)</f>
        <v>0</v>
      </c>
      <c r="AQ32" s="517"/>
      <c r="AR32" s="375"/>
      <c r="AS32" s="356" t="str">
        <f>IF(ISERROR(AR32/AR20),"",AR32/AR20)</f>
        <v/>
      </c>
      <c r="AT32" s="355">
        <f t="shared" si="11"/>
        <v>0</v>
      </c>
      <c r="AU32" s="96"/>
      <c r="AV32" s="512">
        <f>IF(ISERROR(AW32*AV20),"",AW32*AV20)</f>
        <v>0</v>
      </c>
      <c r="AW32" s="517"/>
      <c r="AX32" s="375"/>
      <c r="AY32" s="356" t="str">
        <f>IF(ISERROR(AX32/AX20),"",AX32/AX20)</f>
        <v/>
      </c>
      <c r="AZ32" s="355">
        <f t="shared" si="12"/>
        <v>0</v>
      </c>
      <c r="BA32" s="96"/>
      <c r="BB32" s="512">
        <f>IF(ISERROR(BC32*BB20),"",BC32*BB20)</f>
        <v>0</v>
      </c>
      <c r="BC32" s="517"/>
      <c r="BD32" s="375"/>
      <c r="BE32" s="356" t="str">
        <f>IF(ISERROR(BD32/BD20),"",BD32/BD20)</f>
        <v/>
      </c>
      <c r="BF32" s="355">
        <f t="shared" si="13"/>
        <v>0</v>
      </c>
      <c r="BG32" s="96"/>
      <c r="BH32" s="285">
        <f t="shared" si="14"/>
        <v>0</v>
      </c>
      <c r="BI32" s="295" t="str">
        <f>IF(ISERROR(BH32/BH20),"",BH32/BH20)</f>
        <v/>
      </c>
      <c r="BJ32" s="229">
        <f t="shared" si="15"/>
        <v>0</v>
      </c>
      <c r="BK32" s="295" t="str">
        <f>IF(ISERROR(BJ32/BJ20),"",BJ32/BJ20)</f>
        <v/>
      </c>
      <c r="BL32" s="229">
        <f t="shared" si="16"/>
        <v>0</v>
      </c>
      <c r="BM32" s="96"/>
      <c r="BN32" s="99"/>
      <c r="BO32" s="512">
        <f>IF(ISERROR(BP32*BO20),"",BP32*BO20)</f>
        <v>0</v>
      </c>
      <c r="BP32" s="517"/>
      <c r="BQ32" s="375"/>
      <c r="BR32" s="356" t="str">
        <f>IF(ISERROR(BQ32/BQ20),"",BQ32/BQ20)</f>
        <v/>
      </c>
      <c r="BS32" s="355">
        <f t="shared" si="17"/>
        <v>0</v>
      </c>
      <c r="BT32" s="96"/>
      <c r="BU32" s="512">
        <f>IF(ISERROR(BV32*BU20),"",BV32*BU20)</f>
        <v>0</v>
      </c>
      <c r="BV32" s="517"/>
      <c r="BW32" s="375"/>
      <c r="BX32" s="356" t="str">
        <f>IF(ISERROR(BW32/BW20),"",BW32/BW20)</f>
        <v/>
      </c>
      <c r="BY32" s="355">
        <f t="shared" si="18"/>
        <v>0</v>
      </c>
      <c r="BZ32" s="96"/>
      <c r="CA32" s="512">
        <f>IF(ISERROR(CB32*CA20),"",CB32*CA20)</f>
        <v>0</v>
      </c>
      <c r="CB32" s="517"/>
      <c r="CC32" s="375"/>
      <c r="CD32" s="356" t="str">
        <f>IF(ISERROR(CC32/CC20),"",CC32/CC20)</f>
        <v/>
      </c>
      <c r="CE32" s="355">
        <f t="shared" si="19"/>
        <v>0</v>
      </c>
      <c r="CF32" s="96"/>
      <c r="CG32" s="285">
        <f t="shared" si="20"/>
        <v>0</v>
      </c>
      <c r="CH32" s="295" t="str">
        <f>IF(ISERROR(CG32/CG20),"",CG32/CG20)</f>
        <v/>
      </c>
      <c r="CI32" s="229">
        <f t="shared" si="21"/>
        <v>0</v>
      </c>
      <c r="CJ32" s="295" t="str">
        <f>IF(ISERROR(CI32/CI20),"",CI32/CI20)</f>
        <v/>
      </c>
      <c r="CK32" s="229">
        <f t="shared" si="22"/>
        <v>0</v>
      </c>
      <c r="CL32" s="96"/>
      <c r="CM32" s="100"/>
      <c r="CN32" s="512">
        <f>IF(ISERROR(CO32*CN20),"",CO32*CN20)</f>
        <v>0</v>
      </c>
      <c r="CO32" s="517"/>
      <c r="CP32" s="375"/>
      <c r="CQ32" s="356" t="str">
        <f>IF(ISERROR(CP32/CP20),"",CP32/CP20)</f>
        <v/>
      </c>
      <c r="CR32" s="355">
        <f t="shared" si="23"/>
        <v>0</v>
      </c>
      <c r="CS32" s="96"/>
      <c r="CT32" s="512">
        <f>IF(ISERROR(CU32*CT20),"",CU32*CT20)</f>
        <v>0</v>
      </c>
      <c r="CU32" s="517"/>
      <c r="CV32" s="375"/>
      <c r="CW32" s="356" t="str">
        <f>IF(ISERROR(CV32/CV20),"",CV32/CV20)</f>
        <v/>
      </c>
      <c r="CX32" s="355">
        <f t="shared" si="24"/>
        <v>0</v>
      </c>
      <c r="CY32" s="96"/>
      <c r="CZ32" s="512">
        <f>IF(ISERROR(DA32*CZ20),"",DA32*CZ20)</f>
        <v>0</v>
      </c>
      <c r="DA32" s="517"/>
      <c r="DB32" s="375"/>
      <c r="DC32" s="356" t="str">
        <f>IF(ISERROR(DB32/DB20),"",DB32/DB20)</f>
        <v/>
      </c>
      <c r="DD32" s="355">
        <f t="shared" si="25"/>
        <v>0</v>
      </c>
      <c r="DE32" s="96"/>
      <c r="DF32" s="285">
        <f t="shared" si="26"/>
        <v>0</v>
      </c>
      <c r="DG32" s="295" t="str">
        <f>IF(ISERROR(DF32/DF20),"",DF32/DF20)</f>
        <v/>
      </c>
      <c r="DH32" s="229">
        <f t="shared" si="27"/>
        <v>0</v>
      </c>
      <c r="DI32" s="295" t="str">
        <f>IF(ISERROR(DH32/DH20),"",DH32/DH20)</f>
        <v/>
      </c>
      <c r="DJ32" s="229">
        <f t="shared" si="28"/>
        <v>0</v>
      </c>
      <c r="DK32" s="7"/>
    </row>
    <row r="33" spans="1:115" s="3" customFormat="1" ht="21.75" customHeight="1" outlineLevel="1" x14ac:dyDescent="0.25">
      <c r="A33" s="80">
        <v>24</v>
      </c>
      <c r="B33" s="618"/>
      <c r="C33" s="761"/>
      <c r="D33" s="763"/>
      <c r="E33" s="647"/>
      <c r="F33" s="650" t="s">
        <v>52</v>
      </c>
      <c r="G33" s="610"/>
      <c r="H33" s="610"/>
      <c r="I33" s="611"/>
      <c r="J33" s="230">
        <f t="shared" si="0"/>
        <v>0</v>
      </c>
      <c r="K33" s="296" t="str">
        <f>IF(ISERROR(J33/J20),"",J33/J20)</f>
        <v/>
      </c>
      <c r="L33" s="231">
        <f t="shared" si="1"/>
        <v>0</v>
      </c>
      <c r="M33" s="296" t="str">
        <f>IF(ISERROR(L33/L20),"",L33/L20)</f>
        <v/>
      </c>
      <c r="N33" s="207">
        <f t="shared" si="2"/>
        <v>0</v>
      </c>
      <c r="O33" s="45" t="e">
        <f t="shared" si="3"/>
        <v>#VALUE!</v>
      </c>
      <c r="P33" s="47"/>
      <c r="Q33" s="512">
        <f>IF(ISERROR(R33*Q20),"",R33*Q20)</f>
        <v>0</v>
      </c>
      <c r="R33" s="515"/>
      <c r="S33" s="371"/>
      <c r="T33" s="359" t="str">
        <f>IF(ISERROR(S33/S20),"",S33/S20)</f>
        <v/>
      </c>
      <c r="U33" s="358">
        <f t="shared" si="4"/>
        <v>0</v>
      </c>
      <c r="V33" s="102"/>
      <c r="W33" s="512">
        <f>IF(ISERROR(X33*W20),"",X33*W20)</f>
        <v>0</v>
      </c>
      <c r="X33" s="515"/>
      <c r="Y33" s="371"/>
      <c r="Z33" s="359" t="str">
        <f>IF(ISERROR(Y33/Y20),"",Y33/Y20)</f>
        <v/>
      </c>
      <c r="AA33" s="358">
        <f t="shared" si="5"/>
        <v>0</v>
      </c>
      <c r="AB33" s="102"/>
      <c r="AC33" s="512">
        <f>IF(ISERROR(AD33*AC20),"",AD33*AC20)</f>
        <v>0</v>
      </c>
      <c r="AD33" s="515"/>
      <c r="AE33" s="371"/>
      <c r="AF33" s="359" t="str">
        <f>IF(ISERROR(AE33/AE20),"",AE33/AE20)</f>
        <v/>
      </c>
      <c r="AG33" s="358">
        <f t="shared" si="6"/>
        <v>0</v>
      </c>
      <c r="AH33" s="103" t="e">
        <f t="shared" si="7"/>
        <v>#VALUE!</v>
      </c>
      <c r="AI33" s="286">
        <f t="shared" si="8"/>
        <v>0</v>
      </c>
      <c r="AJ33" s="296" t="str">
        <f>IF(ISERROR(AI33/AI20),"",AI33/AI20)</f>
        <v/>
      </c>
      <c r="AK33" s="231">
        <f t="shared" si="9"/>
        <v>0</v>
      </c>
      <c r="AL33" s="296" t="str">
        <f>IF(ISERROR(AK33/AK20),"",AK33/AK20)</f>
        <v/>
      </c>
      <c r="AM33" s="231">
        <f t="shared" si="10"/>
        <v>0</v>
      </c>
      <c r="AN33" s="102"/>
      <c r="AO33" s="99"/>
      <c r="AP33" s="512">
        <f>IF(ISERROR(AQ33*AP20),"",AQ33*AP20)</f>
        <v>0</v>
      </c>
      <c r="AQ33" s="515"/>
      <c r="AR33" s="371"/>
      <c r="AS33" s="359" t="str">
        <f>IF(ISERROR(AR33/AR20),"",AR33/AR20)</f>
        <v/>
      </c>
      <c r="AT33" s="358">
        <f t="shared" si="11"/>
        <v>0</v>
      </c>
      <c r="AU33" s="102"/>
      <c r="AV33" s="512">
        <f>IF(ISERROR(AW33*AV20),"",AW33*AV20)</f>
        <v>0</v>
      </c>
      <c r="AW33" s="515"/>
      <c r="AX33" s="371"/>
      <c r="AY33" s="359" t="str">
        <f>IF(ISERROR(AX33/AX20),"",AX33/AX20)</f>
        <v/>
      </c>
      <c r="AZ33" s="358">
        <f t="shared" si="12"/>
        <v>0</v>
      </c>
      <c r="BA33" s="102"/>
      <c r="BB33" s="512">
        <f>IF(ISERROR(BC33*BB20),"",BC33*BB20)</f>
        <v>0</v>
      </c>
      <c r="BC33" s="515"/>
      <c r="BD33" s="371"/>
      <c r="BE33" s="359" t="str">
        <f>IF(ISERROR(BD33/BD20),"",BD33/BD20)</f>
        <v/>
      </c>
      <c r="BF33" s="358">
        <f t="shared" si="13"/>
        <v>0</v>
      </c>
      <c r="BG33" s="102"/>
      <c r="BH33" s="286">
        <f t="shared" si="14"/>
        <v>0</v>
      </c>
      <c r="BI33" s="296" t="str">
        <f>IF(ISERROR(BH33/BH20),"",BH33/BH20)</f>
        <v/>
      </c>
      <c r="BJ33" s="231">
        <f t="shared" si="15"/>
        <v>0</v>
      </c>
      <c r="BK33" s="296" t="str">
        <f>IF(ISERROR(BJ33/BJ20),"",BJ33/BJ20)</f>
        <v/>
      </c>
      <c r="BL33" s="231">
        <f t="shared" si="16"/>
        <v>0</v>
      </c>
      <c r="BM33" s="102"/>
      <c r="BN33" s="99"/>
      <c r="BO33" s="512">
        <f>IF(ISERROR(BP33*BO20),"",BP33*BO20)</f>
        <v>0</v>
      </c>
      <c r="BP33" s="515"/>
      <c r="BQ33" s="371"/>
      <c r="BR33" s="359" t="str">
        <f>IF(ISERROR(BQ33/BQ20),"",BQ33/BQ20)</f>
        <v/>
      </c>
      <c r="BS33" s="358">
        <f t="shared" si="17"/>
        <v>0</v>
      </c>
      <c r="BT33" s="102"/>
      <c r="BU33" s="512">
        <f>IF(ISERROR(BV33*BU20),"",BV33*BU20)</f>
        <v>0</v>
      </c>
      <c r="BV33" s="515"/>
      <c r="BW33" s="371"/>
      <c r="BX33" s="359" t="str">
        <f>IF(ISERROR(BW33/BW20),"",BW33/BW20)</f>
        <v/>
      </c>
      <c r="BY33" s="358">
        <f t="shared" si="18"/>
        <v>0</v>
      </c>
      <c r="BZ33" s="102"/>
      <c r="CA33" s="512">
        <f>IF(ISERROR(CB33*CA20),"",CB33*CA20)</f>
        <v>0</v>
      </c>
      <c r="CB33" s="515"/>
      <c r="CC33" s="371"/>
      <c r="CD33" s="359" t="str">
        <f>IF(ISERROR(CC33/CC20),"",CC33/CC20)</f>
        <v/>
      </c>
      <c r="CE33" s="358">
        <f t="shared" si="19"/>
        <v>0</v>
      </c>
      <c r="CF33" s="102"/>
      <c r="CG33" s="286">
        <f t="shared" si="20"/>
        <v>0</v>
      </c>
      <c r="CH33" s="296" t="str">
        <f>IF(ISERROR(CG33/CG20),"",CG33/CG20)</f>
        <v/>
      </c>
      <c r="CI33" s="231">
        <f t="shared" si="21"/>
        <v>0</v>
      </c>
      <c r="CJ33" s="296" t="str">
        <f>IF(ISERROR(CI33/CI20),"",CI33/CI20)</f>
        <v/>
      </c>
      <c r="CK33" s="231">
        <f t="shared" si="22"/>
        <v>0</v>
      </c>
      <c r="CL33" s="102"/>
      <c r="CM33" s="100"/>
      <c r="CN33" s="512">
        <f>IF(ISERROR(CO33*CN20),"",CO33*CN20)</f>
        <v>0</v>
      </c>
      <c r="CO33" s="515"/>
      <c r="CP33" s="371"/>
      <c r="CQ33" s="359" t="str">
        <f>IF(ISERROR(CP33/CP20),"",CP33/CP20)</f>
        <v/>
      </c>
      <c r="CR33" s="358">
        <f t="shared" si="23"/>
        <v>0</v>
      </c>
      <c r="CS33" s="102"/>
      <c r="CT33" s="512">
        <f>IF(ISERROR(CU33*CT20),"",CU33*CT20)</f>
        <v>0</v>
      </c>
      <c r="CU33" s="515"/>
      <c r="CV33" s="371"/>
      <c r="CW33" s="359" t="str">
        <f>IF(ISERROR(CV33/CV20),"",CV33/CV20)</f>
        <v/>
      </c>
      <c r="CX33" s="358">
        <f t="shared" si="24"/>
        <v>0</v>
      </c>
      <c r="CY33" s="102"/>
      <c r="CZ33" s="512">
        <f>IF(ISERROR(DA33*CZ20),"",DA33*CZ20)</f>
        <v>0</v>
      </c>
      <c r="DA33" s="515"/>
      <c r="DB33" s="371"/>
      <c r="DC33" s="359" t="str">
        <f>IF(ISERROR(DB33/DB20),"",DB33/DB20)</f>
        <v/>
      </c>
      <c r="DD33" s="358">
        <f t="shared" si="25"/>
        <v>0</v>
      </c>
      <c r="DE33" s="102"/>
      <c r="DF33" s="286">
        <f t="shared" si="26"/>
        <v>0</v>
      </c>
      <c r="DG33" s="296" t="str">
        <f>IF(ISERROR(DF33/DF20),"",DF33/DF20)</f>
        <v/>
      </c>
      <c r="DH33" s="231">
        <f t="shared" si="27"/>
        <v>0</v>
      </c>
      <c r="DI33" s="296" t="str">
        <f>IF(ISERROR(DH33/DH20),"",DH33/DH20)</f>
        <v/>
      </c>
      <c r="DJ33" s="231">
        <f t="shared" si="28"/>
        <v>0</v>
      </c>
      <c r="DK33" s="8"/>
    </row>
    <row r="34" spans="1:115" s="3" customFormat="1" ht="21.75" customHeight="1" outlineLevel="1" x14ac:dyDescent="0.25">
      <c r="A34" s="80">
        <v>25</v>
      </c>
      <c r="B34" s="618"/>
      <c r="C34" s="761"/>
      <c r="D34" s="763"/>
      <c r="E34" s="647"/>
      <c r="F34" s="650" t="s">
        <v>53</v>
      </c>
      <c r="G34" s="610"/>
      <c r="H34" s="610"/>
      <c r="I34" s="611"/>
      <c r="J34" s="230">
        <f t="shared" si="0"/>
        <v>0</v>
      </c>
      <c r="K34" s="296" t="str">
        <f>IF(ISERROR(J34/J20),"",J34/J20)</f>
        <v/>
      </c>
      <c r="L34" s="231">
        <f t="shared" si="1"/>
        <v>0</v>
      </c>
      <c r="M34" s="296" t="str">
        <f>IF(ISERROR(L34/L20),"",L34/L20)</f>
        <v/>
      </c>
      <c r="N34" s="207">
        <f t="shared" si="2"/>
        <v>0</v>
      </c>
      <c r="O34" s="45" t="e">
        <f t="shared" si="3"/>
        <v>#VALUE!</v>
      </c>
      <c r="P34" s="47"/>
      <c r="Q34" s="512">
        <f>IF(ISERROR(R34*Q20),"",R34*Q20)</f>
        <v>0</v>
      </c>
      <c r="R34" s="515"/>
      <c r="S34" s="371"/>
      <c r="T34" s="359" t="str">
        <f>IF(ISERROR(S34/S20),"",S34/S20)</f>
        <v/>
      </c>
      <c r="U34" s="358">
        <f t="shared" si="4"/>
        <v>0</v>
      </c>
      <c r="V34" s="102"/>
      <c r="W34" s="512">
        <f>IF(ISERROR(X34*W20),"",X34*W20)</f>
        <v>0</v>
      </c>
      <c r="X34" s="515"/>
      <c r="Y34" s="371"/>
      <c r="Z34" s="359" t="str">
        <f>IF(ISERROR(Y34/Y20),"",Y34/Y20)</f>
        <v/>
      </c>
      <c r="AA34" s="358">
        <f t="shared" si="5"/>
        <v>0</v>
      </c>
      <c r="AB34" s="102"/>
      <c r="AC34" s="512">
        <f>IF(ISERROR(AD34*AC20),"",AD34*AC20)</f>
        <v>0</v>
      </c>
      <c r="AD34" s="515"/>
      <c r="AE34" s="371"/>
      <c r="AF34" s="359" t="str">
        <f>IF(ISERROR(AE34/AE20),"",AE34/AE20)</f>
        <v/>
      </c>
      <c r="AG34" s="358">
        <f t="shared" si="6"/>
        <v>0</v>
      </c>
      <c r="AH34" s="103" t="e">
        <f t="shared" si="7"/>
        <v>#VALUE!</v>
      </c>
      <c r="AI34" s="286">
        <f t="shared" si="8"/>
        <v>0</v>
      </c>
      <c r="AJ34" s="296" t="str">
        <f>IF(ISERROR(AI34/AI20),"",AI34/AI20)</f>
        <v/>
      </c>
      <c r="AK34" s="231">
        <f t="shared" si="9"/>
        <v>0</v>
      </c>
      <c r="AL34" s="296" t="str">
        <f>IF(ISERROR(AK34/AK20),"",AK34/AK20)</f>
        <v/>
      </c>
      <c r="AM34" s="231">
        <f t="shared" si="10"/>
        <v>0</v>
      </c>
      <c r="AN34" s="102"/>
      <c r="AO34" s="99"/>
      <c r="AP34" s="512">
        <f>IF(ISERROR(AQ34*AP20),"",AQ34*AP20)</f>
        <v>0</v>
      </c>
      <c r="AQ34" s="515"/>
      <c r="AR34" s="371"/>
      <c r="AS34" s="359" t="str">
        <f>IF(ISERROR(AR34/AR20),"",AR34/AR20)</f>
        <v/>
      </c>
      <c r="AT34" s="358">
        <f t="shared" si="11"/>
        <v>0</v>
      </c>
      <c r="AU34" s="102"/>
      <c r="AV34" s="512">
        <f>IF(ISERROR(AW34*AV20),"",AW34*AV20)</f>
        <v>0</v>
      </c>
      <c r="AW34" s="515"/>
      <c r="AX34" s="371"/>
      <c r="AY34" s="359" t="str">
        <f>IF(ISERROR(AX34/AX20),"",AX34/AX20)</f>
        <v/>
      </c>
      <c r="AZ34" s="358">
        <f t="shared" si="12"/>
        <v>0</v>
      </c>
      <c r="BA34" s="102"/>
      <c r="BB34" s="512">
        <f>IF(ISERROR(BC34*BB20),"",BC34*BB20)</f>
        <v>0</v>
      </c>
      <c r="BC34" s="515"/>
      <c r="BD34" s="371"/>
      <c r="BE34" s="359" t="str">
        <f>IF(ISERROR(BD34/BD20),"",BD34/BD20)</f>
        <v/>
      </c>
      <c r="BF34" s="358">
        <f t="shared" si="13"/>
        <v>0</v>
      </c>
      <c r="BG34" s="102"/>
      <c r="BH34" s="286">
        <f t="shared" si="14"/>
        <v>0</v>
      </c>
      <c r="BI34" s="296" t="str">
        <f>IF(ISERROR(BH34/BH20),"",BH34/BH20)</f>
        <v/>
      </c>
      <c r="BJ34" s="231">
        <f t="shared" si="15"/>
        <v>0</v>
      </c>
      <c r="BK34" s="296" t="str">
        <f>IF(ISERROR(BJ34/BJ20),"",BJ34/BJ20)</f>
        <v/>
      </c>
      <c r="BL34" s="231">
        <f t="shared" si="16"/>
        <v>0</v>
      </c>
      <c r="BM34" s="102"/>
      <c r="BN34" s="99"/>
      <c r="BO34" s="512">
        <f>IF(ISERROR(BP34*BO20),"",BP34*BO20)</f>
        <v>0</v>
      </c>
      <c r="BP34" s="515"/>
      <c r="BQ34" s="371"/>
      <c r="BR34" s="359" t="str">
        <f>IF(ISERROR(BQ34/BQ20),"",BQ34/BQ20)</f>
        <v/>
      </c>
      <c r="BS34" s="358">
        <f t="shared" si="17"/>
        <v>0</v>
      </c>
      <c r="BT34" s="102"/>
      <c r="BU34" s="512">
        <f>IF(ISERROR(BV34*BU20),"",BV34*BU20)</f>
        <v>0</v>
      </c>
      <c r="BV34" s="515"/>
      <c r="BW34" s="371"/>
      <c r="BX34" s="359" t="str">
        <f>IF(ISERROR(BW34/BW20),"",BW34/BW20)</f>
        <v/>
      </c>
      <c r="BY34" s="358">
        <f t="shared" si="18"/>
        <v>0</v>
      </c>
      <c r="BZ34" s="102"/>
      <c r="CA34" s="512">
        <f>IF(ISERROR(CB34*CA20),"",CB34*CA20)</f>
        <v>0</v>
      </c>
      <c r="CB34" s="515"/>
      <c r="CC34" s="371"/>
      <c r="CD34" s="359" t="str">
        <f>IF(ISERROR(CC34/CC20),"",CC34/CC20)</f>
        <v/>
      </c>
      <c r="CE34" s="358">
        <f t="shared" si="19"/>
        <v>0</v>
      </c>
      <c r="CF34" s="102"/>
      <c r="CG34" s="286">
        <f t="shared" si="20"/>
        <v>0</v>
      </c>
      <c r="CH34" s="296" t="str">
        <f>IF(ISERROR(CG34/CG20),"",CG34/CG20)</f>
        <v/>
      </c>
      <c r="CI34" s="231">
        <f t="shared" si="21"/>
        <v>0</v>
      </c>
      <c r="CJ34" s="296" t="str">
        <f>IF(ISERROR(CI34/CI20),"",CI34/CI20)</f>
        <v/>
      </c>
      <c r="CK34" s="231">
        <f t="shared" si="22"/>
        <v>0</v>
      </c>
      <c r="CL34" s="102"/>
      <c r="CM34" s="100"/>
      <c r="CN34" s="512">
        <f>IF(ISERROR(CO34*CN20),"",CO34*CN20)</f>
        <v>0</v>
      </c>
      <c r="CO34" s="515"/>
      <c r="CP34" s="371"/>
      <c r="CQ34" s="359" t="str">
        <f>IF(ISERROR(CP34/CP20),"",CP34/CP20)</f>
        <v/>
      </c>
      <c r="CR34" s="358">
        <f t="shared" si="23"/>
        <v>0</v>
      </c>
      <c r="CS34" s="102"/>
      <c r="CT34" s="512">
        <f>IF(ISERROR(CU34*CT20),"",CU34*CT20)</f>
        <v>0</v>
      </c>
      <c r="CU34" s="515"/>
      <c r="CV34" s="371"/>
      <c r="CW34" s="359" t="str">
        <f>IF(ISERROR(CV34/CV20),"",CV34/CV20)</f>
        <v/>
      </c>
      <c r="CX34" s="358">
        <f t="shared" si="24"/>
        <v>0</v>
      </c>
      <c r="CY34" s="102"/>
      <c r="CZ34" s="512">
        <f>IF(ISERROR(DA34*CZ20),"",DA34*CZ20)</f>
        <v>0</v>
      </c>
      <c r="DA34" s="515"/>
      <c r="DB34" s="371"/>
      <c r="DC34" s="359" t="str">
        <f>IF(ISERROR(DB34/DB20),"",DB34/DB20)</f>
        <v/>
      </c>
      <c r="DD34" s="358">
        <f t="shared" si="25"/>
        <v>0</v>
      </c>
      <c r="DE34" s="102"/>
      <c r="DF34" s="286">
        <f t="shared" si="26"/>
        <v>0</v>
      </c>
      <c r="DG34" s="296" t="str">
        <f>IF(ISERROR(DF34/DF20),"",DF34/DF20)</f>
        <v/>
      </c>
      <c r="DH34" s="231">
        <f t="shared" si="27"/>
        <v>0</v>
      </c>
      <c r="DI34" s="296" t="str">
        <f>IF(ISERROR(DH34/DH20),"",DH34/DH20)</f>
        <v/>
      </c>
      <c r="DJ34" s="231">
        <f t="shared" si="28"/>
        <v>0</v>
      </c>
      <c r="DK34" s="8"/>
    </row>
    <row r="35" spans="1:115" s="3" customFormat="1" ht="21.75" customHeight="1" outlineLevel="1" x14ac:dyDescent="0.25">
      <c r="A35" s="80">
        <v>26</v>
      </c>
      <c r="B35" s="618"/>
      <c r="C35" s="761"/>
      <c r="D35" s="763"/>
      <c r="E35" s="647"/>
      <c r="F35" s="650" t="s">
        <v>54</v>
      </c>
      <c r="G35" s="610"/>
      <c r="H35" s="610"/>
      <c r="I35" s="611"/>
      <c r="J35" s="230">
        <f t="shared" si="0"/>
        <v>0</v>
      </c>
      <c r="K35" s="296" t="str">
        <f>IF(ISERROR(J35/J20),"",J35/J20)</f>
        <v/>
      </c>
      <c r="L35" s="231">
        <f t="shared" si="1"/>
        <v>0</v>
      </c>
      <c r="M35" s="296" t="str">
        <f>IF(ISERROR(L35/L20),"",L35/L20)</f>
        <v/>
      </c>
      <c r="N35" s="207">
        <f t="shared" si="2"/>
        <v>0</v>
      </c>
      <c r="O35" s="45" t="e">
        <f t="shared" si="3"/>
        <v>#VALUE!</v>
      </c>
      <c r="P35" s="47"/>
      <c r="Q35" s="512">
        <f>IF(ISERROR(R35*Q20),"",R35*Q20)</f>
        <v>0</v>
      </c>
      <c r="R35" s="515"/>
      <c r="S35" s="371"/>
      <c r="T35" s="359" t="str">
        <f>IF(ISERROR(S35/S20),"",S35/S20)</f>
        <v/>
      </c>
      <c r="U35" s="358">
        <f t="shared" si="4"/>
        <v>0</v>
      </c>
      <c r="V35" s="102"/>
      <c r="W35" s="512">
        <f>IF(ISERROR(X35*W20),"",X35*W20)</f>
        <v>0</v>
      </c>
      <c r="X35" s="515"/>
      <c r="Y35" s="371"/>
      <c r="Z35" s="359" t="str">
        <f>IF(ISERROR(Y35/Y20),"",Y35/Y20)</f>
        <v/>
      </c>
      <c r="AA35" s="358">
        <f t="shared" si="5"/>
        <v>0</v>
      </c>
      <c r="AB35" s="102"/>
      <c r="AC35" s="512">
        <f>IF(ISERROR(AD35*AC20),"",AD35*AC20)</f>
        <v>0</v>
      </c>
      <c r="AD35" s="515"/>
      <c r="AE35" s="371"/>
      <c r="AF35" s="359" t="str">
        <f>IF(ISERROR(AE35/AE20),"",AE35/AE20)</f>
        <v/>
      </c>
      <c r="AG35" s="358">
        <f t="shared" si="6"/>
        <v>0</v>
      </c>
      <c r="AH35" s="103" t="e">
        <f t="shared" si="7"/>
        <v>#VALUE!</v>
      </c>
      <c r="AI35" s="286">
        <f t="shared" si="8"/>
        <v>0</v>
      </c>
      <c r="AJ35" s="296" t="str">
        <f>IF(ISERROR(AI35/AI20),"",AI35/AI20)</f>
        <v/>
      </c>
      <c r="AK35" s="231">
        <f t="shared" si="9"/>
        <v>0</v>
      </c>
      <c r="AL35" s="296" t="str">
        <f>IF(ISERROR(AK35/AK20),"",AK35/AK20)</f>
        <v/>
      </c>
      <c r="AM35" s="231">
        <f t="shared" si="10"/>
        <v>0</v>
      </c>
      <c r="AN35" s="102"/>
      <c r="AO35" s="99"/>
      <c r="AP35" s="512">
        <f>IF(ISERROR(AQ35*AP20),"",AQ35*AP20)</f>
        <v>0</v>
      </c>
      <c r="AQ35" s="515"/>
      <c r="AR35" s="371"/>
      <c r="AS35" s="359" t="str">
        <f>IF(ISERROR(AR35/AR20),"",AR35/AR20)</f>
        <v/>
      </c>
      <c r="AT35" s="358">
        <f t="shared" si="11"/>
        <v>0</v>
      </c>
      <c r="AU35" s="102"/>
      <c r="AV35" s="512">
        <f>IF(ISERROR(AW35*AV20),"",AW35*AV20)</f>
        <v>0</v>
      </c>
      <c r="AW35" s="515"/>
      <c r="AX35" s="371"/>
      <c r="AY35" s="359" t="str">
        <f>IF(ISERROR(AX35/AX20),"",AX35/AX20)</f>
        <v/>
      </c>
      <c r="AZ35" s="358">
        <f t="shared" si="12"/>
        <v>0</v>
      </c>
      <c r="BA35" s="102"/>
      <c r="BB35" s="512">
        <f>IF(ISERROR(BC35*BB20),"",BC35*BB20)</f>
        <v>0</v>
      </c>
      <c r="BC35" s="515"/>
      <c r="BD35" s="371"/>
      <c r="BE35" s="359" t="str">
        <f>IF(ISERROR(BD35/BD20),"",BD35/BD20)</f>
        <v/>
      </c>
      <c r="BF35" s="358">
        <f t="shared" si="13"/>
        <v>0</v>
      </c>
      <c r="BG35" s="102"/>
      <c r="BH35" s="286">
        <f t="shared" si="14"/>
        <v>0</v>
      </c>
      <c r="BI35" s="296" t="str">
        <f>IF(ISERROR(BH35/BH20),"",BH35/BH20)</f>
        <v/>
      </c>
      <c r="BJ35" s="231">
        <f t="shared" si="15"/>
        <v>0</v>
      </c>
      <c r="BK35" s="296" t="str">
        <f>IF(ISERROR(BJ35/BJ20),"",BJ35/BJ20)</f>
        <v/>
      </c>
      <c r="BL35" s="231">
        <f t="shared" si="16"/>
        <v>0</v>
      </c>
      <c r="BM35" s="102"/>
      <c r="BN35" s="99"/>
      <c r="BO35" s="512">
        <f>IF(ISERROR(BP35*BO20),"",BP35*BO20)</f>
        <v>0</v>
      </c>
      <c r="BP35" s="515"/>
      <c r="BQ35" s="371"/>
      <c r="BR35" s="359" t="str">
        <f>IF(ISERROR(BQ35/BQ20),"",BQ35/BQ20)</f>
        <v/>
      </c>
      <c r="BS35" s="358">
        <f t="shared" si="17"/>
        <v>0</v>
      </c>
      <c r="BT35" s="102"/>
      <c r="BU35" s="512">
        <f>IF(ISERROR(BV35*BU20),"",BV35*BU20)</f>
        <v>0</v>
      </c>
      <c r="BV35" s="515"/>
      <c r="BW35" s="371"/>
      <c r="BX35" s="359" t="str">
        <f>IF(ISERROR(BW35/BW20),"",BW35/BW20)</f>
        <v/>
      </c>
      <c r="BY35" s="358">
        <f t="shared" si="18"/>
        <v>0</v>
      </c>
      <c r="BZ35" s="102"/>
      <c r="CA35" s="512">
        <f>IF(ISERROR(CB35*CA20),"",CB35*CA20)</f>
        <v>0</v>
      </c>
      <c r="CB35" s="515"/>
      <c r="CC35" s="371"/>
      <c r="CD35" s="359" t="str">
        <f>IF(ISERROR(CC35/CC20),"",CC35/CC20)</f>
        <v/>
      </c>
      <c r="CE35" s="358">
        <f t="shared" si="19"/>
        <v>0</v>
      </c>
      <c r="CF35" s="102"/>
      <c r="CG35" s="286">
        <f t="shared" si="20"/>
        <v>0</v>
      </c>
      <c r="CH35" s="296" t="str">
        <f>IF(ISERROR(CG35/CG20),"",CG35/CG20)</f>
        <v/>
      </c>
      <c r="CI35" s="231">
        <f t="shared" si="21"/>
        <v>0</v>
      </c>
      <c r="CJ35" s="296" t="str">
        <f>IF(ISERROR(CI35/CI20),"",CI35/CI20)</f>
        <v/>
      </c>
      <c r="CK35" s="231">
        <f t="shared" si="22"/>
        <v>0</v>
      </c>
      <c r="CL35" s="102"/>
      <c r="CM35" s="100"/>
      <c r="CN35" s="512">
        <f>IF(ISERROR(CO35*CN20),"",CO35*CN20)</f>
        <v>0</v>
      </c>
      <c r="CO35" s="515"/>
      <c r="CP35" s="371"/>
      <c r="CQ35" s="359" t="str">
        <f>IF(ISERROR(CP35/CP20),"",CP35/CP20)</f>
        <v/>
      </c>
      <c r="CR35" s="358">
        <f t="shared" si="23"/>
        <v>0</v>
      </c>
      <c r="CS35" s="102"/>
      <c r="CT35" s="512">
        <f>IF(ISERROR(CU35*CT20),"",CU35*CT20)</f>
        <v>0</v>
      </c>
      <c r="CU35" s="515"/>
      <c r="CV35" s="371"/>
      <c r="CW35" s="359" t="str">
        <f>IF(ISERROR(CV35/CV20),"",CV35/CV20)</f>
        <v/>
      </c>
      <c r="CX35" s="358">
        <f t="shared" si="24"/>
        <v>0</v>
      </c>
      <c r="CY35" s="102"/>
      <c r="CZ35" s="512">
        <f>IF(ISERROR(DA35*CZ20),"",DA35*CZ20)</f>
        <v>0</v>
      </c>
      <c r="DA35" s="515"/>
      <c r="DB35" s="371"/>
      <c r="DC35" s="359" t="str">
        <f>IF(ISERROR(DB35/DB20),"",DB35/DB20)</f>
        <v/>
      </c>
      <c r="DD35" s="358">
        <f t="shared" si="25"/>
        <v>0</v>
      </c>
      <c r="DE35" s="102"/>
      <c r="DF35" s="286">
        <f t="shared" si="26"/>
        <v>0</v>
      </c>
      <c r="DG35" s="296" t="str">
        <f>IF(ISERROR(DF35/DF20),"",DF35/DF20)</f>
        <v/>
      </c>
      <c r="DH35" s="231">
        <f t="shared" si="27"/>
        <v>0</v>
      </c>
      <c r="DI35" s="296" t="str">
        <f>IF(ISERROR(DH35/DH20),"",DH35/DH20)</f>
        <v/>
      </c>
      <c r="DJ35" s="231">
        <f t="shared" si="28"/>
        <v>0</v>
      </c>
      <c r="DK35" s="8"/>
    </row>
    <row r="36" spans="1:115" s="3" customFormat="1" ht="21.75" customHeight="1" outlineLevel="1" thickBot="1" x14ac:dyDescent="0.3">
      <c r="A36" s="80">
        <v>27</v>
      </c>
      <c r="B36" s="618"/>
      <c r="C36" s="761"/>
      <c r="D36" s="763"/>
      <c r="E36" s="647"/>
      <c r="F36" s="651" t="s">
        <v>55</v>
      </c>
      <c r="G36" s="613"/>
      <c r="H36" s="613"/>
      <c r="I36" s="614"/>
      <c r="J36" s="240">
        <f t="shared" si="0"/>
        <v>0</v>
      </c>
      <c r="K36" s="300" t="str">
        <f>IF(ISERROR(J36/J20),"",J36/J20)</f>
        <v/>
      </c>
      <c r="L36" s="241">
        <f t="shared" si="1"/>
        <v>0</v>
      </c>
      <c r="M36" s="300" t="str">
        <f>IF(ISERROR(L36/L20),"",L36/L20)</f>
        <v/>
      </c>
      <c r="N36" s="212">
        <f t="shared" si="2"/>
        <v>0</v>
      </c>
      <c r="O36" s="51" t="e">
        <f t="shared" si="3"/>
        <v>#VALUE!</v>
      </c>
      <c r="P36" s="47"/>
      <c r="Q36" s="512">
        <f>IF(ISERROR(R36*Q20),"",R36*Q20)</f>
        <v>0</v>
      </c>
      <c r="R36" s="516"/>
      <c r="S36" s="376"/>
      <c r="T36" s="377" t="str">
        <f>IF(ISERROR(S36/S20),"",S36/S20)</f>
        <v/>
      </c>
      <c r="U36" s="378">
        <f t="shared" si="4"/>
        <v>0</v>
      </c>
      <c r="V36" s="114"/>
      <c r="W36" s="512">
        <f>IF(ISERROR(X36*W20),"",X36*W20)</f>
        <v>0</v>
      </c>
      <c r="X36" s="516"/>
      <c r="Y36" s="376"/>
      <c r="Z36" s="377" t="str">
        <f>IF(ISERROR(Y36/Y20),"",Y36/Y20)</f>
        <v/>
      </c>
      <c r="AA36" s="378">
        <f t="shared" si="5"/>
        <v>0</v>
      </c>
      <c r="AB36" s="114"/>
      <c r="AC36" s="512">
        <f>IF(ISERROR(AD36*AC20),"",AD36*AC20)</f>
        <v>0</v>
      </c>
      <c r="AD36" s="516"/>
      <c r="AE36" s="376"/>
      <c r="AF36" s="377" t="str">
        <f>IF(ISERROR(AE36/AE20),"",AE36/AE20)</f>
        <v/>
      </c>
      <c r="AG36" s="378">
        <f t="shared" si="6"/>
        <v>0</v>
      </c>
      <c r="AH36" s="115" t="e">
        <f t="shared" si="7"/>
        <v>#VALUE!</v>
      </c>
      <c r="AI36" s="290">
        <f t="shared" si="8"/>
        <v>0</v>
      </c>
      <c r="AJ36" s="300" t="str">
        <f>IF(ISERROR(AI36/AI20),"",AI36/AI20)</f>
        <v/>
      </c>
      <c r="AK36" s="241">
        <f t="shared" si="9"/>
        <v>0</v>
      </c>
      <c r="AL36" s="300" t="str">
        <f>IF(ISERROR(AK36/AK20),"",AK36/AK20)</f>
        <v/>
      </c>
      <c r="AM36" s="241">
        <f t="shared" si="10"/>
        <v>0</v>
      </c>
      <c r="AN36" s="114"/>
      <c r="AO36" s="99"/>
      <c r="AP36" s="512">
        <f>IF(ISERROR(AQ36*AP20),"",AQ36*AP20)</f>
        <v>0</v>
      </c>
      <c r="AQ36" s="516"/>
      <c r="AR36" s="376"/>
      <c r="AS36" s="377" t="str">
        <f>IF(ISERROR(AR36/AR20),"",AR36/AR20)</f>
        <v/>
      </c>
      <c r="AT36" s="378">
        <f t="shared" si="11"/>
        <v>0</v>
      </c>
      <c r="AU36" s="114"/>
      <c r="AV36" s="512">
        <f>IF(ISERROR(AW36*AV20),"",AW36*AV20)</f>
        <v>0</v>
      </c>
      <c r="AW36" s="516"/>
      <c r="AX36" s="376"/>
      <c r="AY36" s="377" t="str">
        <f>IF(ISERROR(AX36/AX20),"",AX36/AX20)</f>
        <v/>
      </c>
      <c r="AZ36" s="378">
        <f t="shared" si="12"/>
        <v>0</v>
      </c>
      <c r="BA36" s="114"/>
      <c r="BB36" s="512">
        <f>IF(ISERROR(BC36*BB20),"",BC36*BB20)</f>
        <v>0</v>
      </c>
      <c r="BC36" s="516"/>
      <c r="BD36" s="376"/>
      <c r="BE36" s="377" t="str">
        <f>IF(ISERROR(BD36/BD20),"",BD36/BD20)</f>
        <v/>
      </c>
      <c r="BF36" s="378">
        <f t="shared" si="13"/>
        <v>0</v>
      </c>
      <c r="BG36" s="114"/>
      <c r="BH36" s="290">
        <f t="shared" si="14"/>
        <v>0</v>
      </c>
      <c r="BI36" s="300" t="str">
        <f>IF(ISERROR(BH36/BH20),"",BH36/BH20)</f>
        <v/>
      </c>
      <c r="BJ36" s="241">
        <f t="shared" si="15"/>
        <v>0</v>
      </c>
      <c r="BK36" s="300" t="str">
        <f>IF(ISERROR(BJ36/BJ20),"",BJ36/BJ20)</f>
        <v/>
      </c>
      <c r="BL36" s="241">
        <f t="shared" si="16"/>
        <v>0</v>
      </c>
      <c r="BM36" s="114"/>
      <c r="BN36" s="99"/>
      <c r="BO36" s="512">
        <f>IF(ISERROR(BP36*BO20),"",BP36*BO20)</f>
        <v>0</v>
      </c>
      <c r="BP36" s="516"/>
      <c r="BQ36" s="376"/>
      <c r="BR36" s="377" t="str">
        <f>IF(ISERROR(BQ36/BQ20),"",BQ36/BQ20)</f>
        <v/>
      </c>
      <c r="BS36" s="378">
        <f t="shared" si="17"/>
        <v>0</v>
      </c>
      <c r="BT36" s="114"/>
      <c r="BU36" s="512">
        <f>IF(ISERROR(BV36*BU20),"",BV36*BU20)</f>
        <v>0</v>
      </c>
      <c r="BV36" s="516"/>
      <c r="BW36" s="376"/>
      <c r="BX36" s="377" t="str">
        <f>IF(ISERROR(BW36/BW20),"",BW36/BW20)</f>
        <v/>
      </c>
      <c r="BY36" s="378">
        <f t="shared" si="18"/>
        <v>0</v>
      </c>
      <c r="BZ36" s="114"/>
      <c r="CA36" s="512">
        <f>IF(ISERROR(CB36*CA20),"",CB36*CA20)</f>
        <v>0</v>
      </c>
      <c r="CB36" s="516"/>
      <c r="CC36" s="376"/>
      <c r="CD36" s="377" t="str">
        <f>IF(ISERROR(CC36/CC20),"",CC36/CC20)</f>
        <v/>
      </c>
      <c r="CE36" s="378">
        <f t="shared" si="19"/>
        <v>0</v>
      </c>
      <c r="CF36" s="114"/>
      <c r="CG36" s="290">
        <f t="shared" si="20"/>
        <v>0</v>
      </c>
      <c r="CH36" s="300" t="str">
        <f>IF(ISERROR(CG36/CG20),"",CG36/CG20)</f>
        <v/>
      </c>
      <c r="CI36" s="241">
        <f t="shared" si="21"/>
        <v>0</v>
      </c>
      <c r="CJ36" s="300" t="str">
        <f>IF(ISERROR(CI36/CI20),"",CI36/CI20)</f>
        <v/>
      </c>
      <c r="CK36" s="241">
        <f t="shared" si="22"/>
        <v>0</v>
      </c>
      <c r="CL36" s="114"/>
      <c r="CM36" s="100"/>
      <c r="CN36" s="512">
        <f>IF(ISERROR(CO36*CN20),"",CO36*CN20)</f>
        <v>0</v>
      </c>
      <c r="CO36" s="516"/>
      <c r="CP36" s="376"/>
      <c r="CQ36" s="377" t="str">
        <f>IF(ISERROR(CP36/CP20),"",CP36/CP20)</f>
        <v/>
      </c>
      <c r="CR36" s="378">
        <f t="shared" si="23"/>
        <v>0</v>
      </c>
      <c r="CS36" s="114"/>
      <c r="CT36" s="512">
        <f>IF(ISERROR(CU36*CT20),"",CU36*CT20)</f>
        <v>0</v>
      </c>
      <c r="CU36" s="516"/>
      <c r="CV36" s="376"/>
      <c r="CW36" s="377" t="str">
        <f>IF(ISERROR(CV36/CV20),"",CV36/CV20)</f>
        <v/>
      </c>
      <c r="CX36" s="378">
        <f t="shared" si="24"/>
        <v>0</v>
      </c>
      <c r="CY36" s="114"/>
      <c r="CZ36" s="512">
        <f>IF(ISERROR(DA36*CZ20),"",DA36*CZ20)</f>
        <v>0</v>
      </c>
      <c r="DA36" s="516"/>
      <c r="DB36" s="376"/>
      <c r="DC36" s="377" t="str">
        <f>IF(ISERROR(DB36/DB20),"",DB36/DB20)</f>
        <v/>
      </c>
      <c r="DD36" s="378">
        <f t="shared" si="25"/>
        <v>0</v>
      </c>
      <c r="DE36" s="114"/>
      <c r="DF36" s="290">
        <f t="shared" si="26"/>
        <v>0</v>
      </c>
      <c r="DG36" s="300" t="str">
        <f>IF(ISERROR(DF36/DF20),"",DF36/DF20)</f>
        <v/>
      </c>
      <c r="DH36" s="241">
        <f t="shared" si="27"/>
        <v>0</v>
      </c>
      <c r="DI36" s="300" t="str">
        <f>IF(ISERROR(DH36/DH20),"",DH36/DH20)</f>
        <v/>
      </c>
      <c r="DJ36" s="241">
        <f t="shared" si="28"/>
        <v>0</v>
      </c>
      <c r="DK36" s="13"/>
    </row>
    <row r="37" spans="1:115" s="3" customFormat="1" ht="21.75" customHeight="1" outlineLevel="1" thickTop="1" x14ac:dyDescent="0.25">
      <c r="A37" s="80">
        <v>28</v>
      </c>
      <c r="B37" s="618"/>
      <c r="C37" s="761"/>
      <c r="D37" s="763"/>
      <c r="E37" s="648"/>
      <c r="F37" s="777" t="s">
        <v>56</v>
      </c>
      <c r="G37" s="778"/>
      <c r="H37" s="778"/>
      <c r="I37" s="779"/>
      <c r="J37" s="242">
        <f t="shared" si="0"/>
        <v>0</v>
      </c>
      <c r="K37" s="279" t="str">
        <f>IF(ISERROR(J37/J20),"",J37/J20)</f>
        <v/>
      </c>
      <c r="L37" s="243">
        <f t="shared" si="1"/>
        <v>0</v>
      </c>
      <c r="M37" s="279" t="str">
        <f>IF(ISERROR(L37/L20),"",L37/L20)</f>
        <v/>
      </c>
      <c r="N37" s="213">
        <f t="shared" si="2"/>
        <v>0</v>
      </c>
      <c r="O37" s="52" t="e">
        <f t="shared" si="3"/>
        <v>#VALUE!</v>
      </c>
      <c r="P37" s="47"/>
      <c r="Q37" s="258">
        <f>SUM(Q32:Q36)</f>
        <v>0</v>
      </c>
      <c r="R37" s="518" t="str">
        <f>IF(ISERROR(Q37/Q20),"",Q37/Q20)</f>
        <v/>
      </c>
      <c r="S37" s="381">
        <f>SUM(S32:S36)</f>
        <v>0</v>
      </c>
      <c r="T37" s="382" t="str">
        <f>IF(ISERROR(S37/S20),"",S37/S20)</f>
        <v/>
      </c>
      <c r="U37" s="381">
        <f t="shared" si="4"/>
        <v>0</v>
      </c>
      <c r="V37" s="117"/>
      <c r="W37" s="258">
        <f>SUM(W32:W36)</f>
        <v>0</v>
      </c>
      <c r="X37" s="518" t="str">
        <f>IF(ISERROR(W37/W20),"",W37/W20)</f>
        <v/>
      </c>
      <c r="Y37" s="381">
        <f>SUM(Y32:Y36)</f>
        <v>0</v>
      </c>
      <c r="Z37" s="382" t="str">
        <f>IF(ISERROR(Y37/Y20),"",Y37/Y20)</f>
        <v/>
      </c>
      <c r="AA37" s="381">
        <f t="shared" si="5"/>
        <v>0</v>
      </c>
      <c r="AB37" s="117"/>
      <c r="AC37" s="258">
        <f>SUM(AC32:AC36)</f>
        <v>0</v>
      </c>
      <c r="AD37" s="518" t="str">
        <f>IF(ISERROR(AC37/AC20),"",AC37/AC20)</f>
        <v/>
      </c>
      <c r="AE37" s="381">
        <f>SUM(AE32:AE36)</f>
        <v>0</v>
      </c>
      <c r="AF37" s="382" t="str">
        <f>IF(ISERROR(AE37/AE20),"",AE37/AE20)</f>
        <v/>
      </c>
      <c r="AG37" s="381">
        <f t="shared" si="6"/>
        <v>0</v>
      </c>
      <c r="AH37" s="116" t="e">
        <f t="shared" si="7"/>
        <v>#VALUE!</v>
      </c>
      <c r="AI37" s="242">
        <f t="shared" si="8"/>
        <v>0</v>
      </c>
      <c r="AJ37" s="279" t="str">
        <f>IF(ISERROR(AI37/AI20),"",AI37/AI20)</f>
        <v/>
      </c>
      <c r="AK37" s="243">
        <f t="shared" si="9"/>
        <v>0</v>
      </c>
      <c r="AL37" s="279" t="str">
        <f>IF(ISERROR(AK37/AK20),"",AK37/AK20)</f>
        <v/>
      </c>
      <c r="AM37" s="243">
        <f t="shared" si="10"/>
        <v>0</v>
      </c>
      <c r="AN37" s="117"/>
      <c r="AO37" s="99"/>
      <c r="AP37" s="258">
        <f>SUM(AP32:AP36)</f>
        <v>0</v>
      </c>
      <c r="AQ37" s="518" t="str">
        <f>IF(ISERROR(AP37/AP20),"",AP37/AP20)</f>
        <v/>
      </c>
      <c r="AR37" s="381">
        <f>SUM(AR32:AR36)</f>
        <v>0</v>
      </c>
      <c r="AS37" s="382" t="str">
        <f>IF(ISERROR(AR37/AR20),"",AR37/AR20)</f>
        <v/>
      </c>
      <c r="AT37" s="381">
        <f t="shared" si="11"/>
        <v>0</v>
      </c>
      <c r="AU37" s="117"/>
      <c r="AV37" s="258">
        <f>SUM(AV32:AV36)</f>
        <v>0</v>
      </c>
      <c r="AW37" s="518" t="str">
        <f>IF(ISERROR(AV37/AV20),"",AV37/AV20)</f>
        <v/>
      </c>
      <c r="AX37" s="381">
        <f>SUM(AX32:AX36)</f>
        <v>0</v>
      </c>
      <c r="AY37" s="382" t="str">
        <f>IF(ISERROR(AX37/AX20),"",AX37/AX20)</f>
        <v/>
      </c>
      <c r="AZ37" s="381">
        <f t="shared" si="12"/>
        <v>0</v>
      </c>
      <c r="BA37" s="117"/>
      <c r="BB37" s="258">
        <f>SUM(BB32:BB36)</f>
        <v>0</v>
      </c>
      <c r="BC37" s="518" t="str">
        <f>IF(ISERROR(BB37/BB20),"",BB37/BB20)</f>
        <v/>
      </c>
      <c r="BD37" s="381">
        <f>SUM(BD32:BD36)</f>
        <v>0</v>
      </c>
      <c r="BE37" s="382" t="str">
        <f>IF(ISERROR(BD37/BD20),"",BD37/BD20)</f>
        <v/>
      </c>
      <c r="BF37" s="381">
        <f t="shared" si="13"/>
        <v>0</v>
      </c>
      <c r="BG37" s="117"/>
      <c r="BH37" s="242">
        <f t="shared" si="14"/>
        <v>0</v>
      </c>
      <c r="BI37" s="279" t="str">
        <f>IF(ISERROR(BH37/BH20),"",BH37/BH20)</f>
        <v/>
      </c>
      <c r="BJ37" s="243">
        <f t="shared" si="15"/>
        <v>0</v>
      </c>
      <c r="BK37" s="279" t="str">
        <f>IF(ISERROR(BJ37/BJ20),"",BJ37/BJ20)</f>
        <v/>
      </c>
      <c r="BL37" s="243">
        <f t="shared" si="16"/>
        <v>0</v>
      </c>
      <c r="BM37" s="117"/>
      <c r="BN37" s="99"/>
      <c r="BO37" s="258">
        <f>SUM(BO32:BO36)</f>
        <v>0</v>
      </c>
      <c r="BP37" s="518" t="str">
        <f>IF(ISERROR(BO37/BO20),"",BO37/BO20)</f>
        <v/>
      </c>
      <c r="BQ37" s="381">
        <f>SUM(BQ32:BQ36)</f>
        <v>0</v>
      </c>
      <c r="BR37" s="382" t="str">
        <f>IF(ISERROR(BQ37/BQ20),"",BQ37/BQ20)</f>
        <v/>
      </c>
      <c r="BS37" s="381">
        <f t="shared" si="17"/>
        <v>0</v>
      </c>
      <c r="BT37" s="117"/>
      <c r="BU37" s="258">
        <f>SUM(BU32:BU36)</f>
        <v>0</v>
      </c>
      <c r="BV37" s="518" t="str">
        <f>IF(ISERROR(BU37/BU20),"",BU37/BU20)</f>
        <v/>
      </c>
      <c r="BW37" s="381">
        <f>SUM(BW32:BW36)</f>
        <v>0</v>
      </c>
      <c r="BX37" s="382" t="str">
        <f>IF(ISERROR(BW37/BW20),"",BW37/BW20)</f>
        <v/>
      </c>
      <c r="BY37" s="381">
        <f t="shared" si="18"/>
        <v>0</v>
      </c>
      <c r="BZ37" s="117"/>
      <c r="CA37" s="258">
        <f>SUM(CA32:CA36)</f>
        <v>0</v>
      </c>
      <c r="CB37" s="518" t="str">
        <f>IF(ISERROR(CA37/CA20),"",CA37/CA20)</f>
        <v/>
      </c>
      <c r="CC37" s="381">
        <f>SUM(CC32:CC36)</f>
        <v>0</v>
      </c>
      <c r="CD37" s="382" t="str">
        <f>IF(ISERROR(CC37/CC20),"",CC37/CC20)</f>
        <v/>
      </c>
      <c r="CE37" s="381">
        <f t="shared" si="19"/>
        <v>0</v>
      </c>
      <c r="CF37" s="117"/>
      <c r="CG37" s="242">
        <f t="shared" si="20"/>
        <v>0</v>
      </c>
      <c r="CH37" s="279" t="str">
        <f>IF(ISERROR(CG37/CG20),"",CG37/CG20)</f>
        <v/>
      </c>
      <c r="CI37" s="243">
        <f t="shared" si="21"/>
        <v>0</v>
      </c>
      <c r="CJ37" s="279" t="str">
        <f>IF(ISERROR(CI37/CI20),"",CI37/CI20)</f>
        <v/>
      </c>
      <c r="CK37" s="243">
        <f t="shared" si="22"/>
        <v>0</v>
      </c>
      <c r="CL37" s="117"/>
      <c r="CM37" s="100"/>
      <c r="CN37" s="258">
        <f>SUM(CN32:CN36)</f>
        <v>0</v>
      </c>
      <c r="CO37" s="518" t="str">
        <f>IF(ISERROR(CN37/CN20),"",CN37/CN20)</f>
        <v/>
      </c>
      <c r="CP37" s="381">
        <f>SUM(CP32:CP36)</f>
        <v>0</v>
      </c>
      <c r="CQ37" s="382" t="str">
        <f>IF(ISERROR(CP37/CP20),"",CP37/CP20)</f>
        <v/>
      </c>
      <c r="CR37" s="381">
        <f t="shared" si="23"/>
        <v>0</v>
      </c>
      <c r="CS37" s="117"/>
      <c r="CT37" s="258">
        <f>SUM(CT32:CT36)</f>
        <v>0</v>
      </c>
      <c r="CU37" s="518" t="str">
        <f>IF(ISERROR(CT37/CT20),"",CT37/CT20)</f>
        <v/>
      </c>
      <c r="CV37" s="381">
        <f>SUM(CV32:CV36)</f>
        <v>0</v>
      </c>
      <c r="CW37" s="382" t="str">
        <f>IF(ISERROR(CV37/CV20),"",CV37/CV20)</f>
        <v/>
      </c>
      <c r="CX37" s="381">
        <f t="shared" si="24"/>
        <v>0</v>
      </c>
      <c r="CY37" s="117"/>
      <c r="CZ37" s="258">
        <f>SUM(CZ32:CZ36)</f>
        <v>0</v>
      </c>
      <c r="DA37" s="518" t="str">
        <f>IF(ISERROR(CZ37/CZ20),"",CZ37/CZ20)</f>
        <v/>
      </c>
      <c r="DB37" s="381">
        <f>SUM(DB32:DB36)</f>
        <v>0</v>
      </c>
      <c r="DC37" s="382" t="str">
        <f>IF(ISERROR(DB37/DB20),"",DB37/DB20)</f>
        <v/>
      </c>
      <c r="DD37" s="381">
        <f t="shared" si="25"/>
        <v>0</v>
      </c>
      <c r="DE37" s="117"/>
      <c r="DF37" s="242">
        <f t="shared" si="26"/>
        <v>0</v>
      </c>
      <c r="DG37" s="279" t="str">
        <f>IF(ISERROR(DF37/DF20),"",DF37/DF20)</f>
        <v/>
      </c>
      <c r="DH37" s="243">
        <f t="shared" si="27"/>
        <v>0</v>
      </c>
      <c r="DI37" s="279" t="str">
        <f>IF(ISERROR(DH37/DH20),"",DH37/DH20)</f>
        <v/>
      </c>
      <c r="DJ37" s="243">
        <f t="shared" si="28"/>
        <v>0</v>
      </c>
      <c r="DK37" s="14"/>
    </row>
    <row r="38" spans="1:115" s="3" customFormat="1" ht="21.75" customHeight="1" thickBot="1" x14ac:dyDescent="0.3">
      <c r="A38" s="80">
        <v>29</v>
      </c>
      <c r="B38" s="618"/>
      <c r="C38" s="761"/>
      <c r="D38" s="764"/>
      <c r="E38" s="587" t="s">
        <v>57</v>
      </c>
      <c r="F38" s="588"/>
      <c r="G38" s="588"/>
      <c r="H38" s="588"/>
      <c r="I38" s="589"/>
      <c r="J38" s="238">
        <f t="shared" si="0"/>
        <v>0</v>
      </c>
      <c r="K38" s="278" t="str">
        <f>IF(ISERROR(J38/J20),"",J38/J20)</f>
        <v/>
      </c>
      <c r="L38" s="239">
        <f t="shared" si="1"/>
        <v>0</v>
      </c>
      <c r="M38" s="278" t="str">
        <f>IF(ISERROR(L38/L20),"",L38/L20)</f>
        <v/>
      </c>
      <c r="N38" s="211">
        <f t="shared" si="2"/>
        <v>0</v>
      </c>
      <c r="O38" s="50" t="e">
        <f t="shared" si="3"/>
        <v>#VALUE!</v>
      </c>
      <c r="P38" s="47"/>
      <c r="Q38" s="250">
        <f>Q31-Q37</f>
        <v>0</v>
      </c>
      <c r="R38" s="278" t="str">
        <f>IF(ISERROR(Q38/Q20),"",Q38/Q20)</f>
        <v/>
      </c>
      <c r="S38" s="373">
        <f>S31-S37</f>
        <v>0</v>
      </c>
      <c r="T38" s="374" t="str">
        <f>IF(ISERROR(S38/S20),"",S38/S20)</f>
        <v/>
      </c>
      <c r="U38" s="373">
        <f t="shared" si="4"/>
        <v>0</v>
      </c>
      <c r="V38" s="113"/>
      <c r="W38" s="250">
        <f>W31-W37</f>
        <v>0</v>
      </c>
      <c r="X38" s="278" t="str">
        <f>IF(ISERROR(W38/W20),"",W38/W20)</f>
        <v/>
      </c>
      <c r="Y38" s="373">
        <f>Y31-Y37</f>
        <v>0</v>
      </c>
      <c r="Z38" s="374" t="str">
        <f>IF(ISERROR(Y38/Y20),"",Y38/Y20)</f>
        <v/>
      </c>
      <c r="AA38" s="373">
        <f t="shared" si="5"/>
        <v>0</v>
      </c>
      <c r="AB38" s="113"/>
      <c r="AC38" s="250">
        <f>AC31-AC37</f>
        <v>0</v>
      </c>
      <c r="AD38" s="278" t="str">
        <f>IF(ISERROR(AC38/AC20),"",AC38/AC20)</f>
        <v/>
      </c>
      <c r="AE38" s="373">
        <f>AE31-AE37</f>
        <v>0</v>
      </c>
      <c r="AF38" s="374" t="str">
        <f>IF(ISERROR(AE38/AE20),"",AE38/AE20)</f>
        <v/>
      </c>
      <c r="AG38" s="373">
        <f t="shared" si="6"/>
        <v>0</v>
      </c>
      <c r="AH38" s="112" t="e">
        <f t="shared" si="7"/>
        <v>#VALUE!</v>
      </c>
      <c r="AI38" s="238">
        <f t="shared" si="8"/>
        <v>0</v>
      </c>
      <c r="AJ38" s="278" t="str">
        <f>IF(ISERROR(AI38/AI20),"",AI38/AI20)</f>
        <v/>
      </c>
      <c r="AK38" s="239">
        <f t="shared" si="9"/>
        <v>0</v>
      </c>
      <c r="AL38" s="278" t="str">
        <f>IF(ISERROR(AK38/AK20),"",AK38/AK20)</f>
        <v/>
      </c>
      <c r="AM38" s="239">
        <f t="shared" si="10"/>
        <v>0</v>
      </c>
      <c r="AN38" s="113"/>
      <c r="AO38" s="99"/>
      <c r="AP38" s="250">
        <f>AP31-AP37</f>
        <v>0</v>
      </c>
      <c r="AQ38" s="278" t="str">
        <f>IF(ISERROR(AP38/AP20),"",AP38/AP20)</f>
        <v/>
      </c>
      <c r="AR38" s="373">
        <f>AR31-AR37</f>
        <v>0</v>
      </c>
      <c r="AS38" s="374" t="str">
        <f>IF(ISERROR(AR38/AR20),"",AR38/AR20)</f>
        <v/>
      </c>
      <c r="AT38" s="373">
        <f t="shared" si="11"/>
        <v>0</v>
      </c>
      <c r="AU38" s="113"/>
      <c r="AV38" s="250">
        <f>AV31-AV37</f>
        <v>0</v>
      </c>
      <c r="AW38" s="278" t="str">
        <f>IF(ISERROR(AV38/AV20),"",AV38/AV20)</f>
        <v/>
      </c>
      <c r="AX38" s="373">
        <f>AX31-AX37</f>
        <v>0</v>
      </c>
      <c r="AY38" s="374" t="str">
        <f>IF(ISERROR(AX38/AX20),"",AX38/AX20)</f>
        <v/>
      </c>
      <c r="AZ38" s="373">
        <f t="shared" si="12"/>
        <v>0</v>
      </c>
      <c r="BA38" s="113"/>
      <c r="BB38" s="250">
        <f>BB31-BB37</f>
        <v>0</v>
      </c>
      <c r="BC38" s="278" t="str">
        <f>IF(ISERROR(BB38/BB20),"",BB38/BB20)</f>
        <v/>
      </c>
      <c r="BD38" s="373">
        <f>BD31-BD37</f>
        <v>0</v>
      </c>
      <c r="BE38" s="374" t="str">
        <f>IF(ISERROR(BD38/BD20),"",BD38/BD20)</f>
        <v/>
      </c>
      <c r="BF38" s="373">
        <f t="shared" si="13"/>
        <v>0</v>
      </c>
      <c r="BG38" s="113"/>
      <c r="BH38" s="238">
        <f t="shared" si="14"/>
        <v>0</v>
      </c>
      <c r="BI38" s="278" t="str">
        <f>IF(ISERROR(BH38/BH20),"",BH38/BH20)</f>
        <v/>
      </c>
      <c r="BJ38" s="239">
        <f t="shared" si="15"/>
        <v>0</v>
      </c>
      <c r="BK38" s="278" t="str">
        <f>IF(ISERROR(BJ38/BJ20),"",BJ38/BJ20)</f>
        <v/>
      </c>
      <c r="BL38" s="239">
        <f t="shared" si="16"/>
        <v>0</v>
      </c>
      <c r="BM38" s="113"/>
      <c r="BN38" s="99"/>
      <c r="BO38" s="250">
        <f>BO31-BO37</f>
        <v>0</v>
      </c>
      <c r="BP38" s="278" t="str">
        <f>IF(ISERROR(BO38/BO20),"",BO38/BO20)</f>
        <v/>
      </c>
      <c r="BQ38" s="373">
        <f>BQ31-BQ37</f>
        <v>0</v>
      </c>
      <c r="BR38" s="374" t="str">
        <f>IF(ISERROR(BQ38/BQ20),"",BQ38/BQ20)</f>
        <v/>
      </c>
      <c r="BS38" s="373">
        <f t="shared" si="17"/>
        <v>0</v>
      </c>
      <c r="BT38" s="113"/>
      <c r="BU38" s="250">
        <f>BU31-BU37</f>
        <v>0</v>
      </c>
      <c r="BV38" s="278" t="str">
        <f>IF(ISERROR(BU38/BU20),"",BU38/BU20)</f>
        <v/>
      </c>
      <c r="BW38" s="373">
        <f>BW31-BW37</f>
        <v>0</v>
      </c>
      <c r="BX38" s="374" t="str">
        <f>IF(ISERROR(BW38/BW20),"",BW38/BW20)</f>
        <v/>
      </c>
      <c r="BY38" s="373">
        <f t="shared" si="18"/>
        <v>0</v>
      </c>
      <c r="BZ38" s="113"/>
      <c r="CA38" s="250">
        <f>CA31-CA37</f>
        <v>0</v>
      </c>
      <c r="CB38" s="278" t="str">
        <f>IF(ISERROR(CA38/CA20),"",CA38/CA20)</f>
        <v/>
      </c>
      <c r="CC38" s="373">
        <f>CC31-CC37</f>
        <v>0</v>
      </c>
      <c r="CD38" s="374" t="str">
        <f>IF(ISERROR(CC38/CC20),"",CC38/CC20)</f>
        <v/>
      </c>
      <c r="CE38" s="373">
        <f t="shared" si="19"/>
        <v>0</v>
      </c>
      <c r="CF38" s="113"/>
      <c r="CG38" s="238">
        <f t="shared" si="20"/>
        <v>0</v>
      </c>
      <c r="CH38" s="278" t="str">
        <f>IF(ISERROR(CG38/CG20),"",CG38/CG20)</f>
        <v/>
      </c>
      <c r="CI38" s="239">
        <f t="shared" si="21"/>
        <v>0</v>
      </c>
      <c r="CJ38" s="278" t="str">
        <f>IF(ISERROR(CI38/CI20),"",CI38/CI20)</f>
        <v/>
      </c>
      <c r="CK38" s="239">
        <f t="shared" si="22"/>
        <v>0</v>
      </c>
      <c r="CL38" s="113"/>
      <c r="CM38" s="100"/>
      <c r="CN38" s="250">
        <f>CN31-CN37</f>
        <v>0</v>
      </c>
      <c r="CO38" s="278" t="str">
        <f>IF(ISERROR(CN38/CN20),"",CN38/CN20)</f>
        <v/>
      </c>
      <c r="CP38" s="373">
        <f>CP31-CP37</f>
        <v>0</v>
      </c>
      <c r="CQ38" s="374" t="str">
        <f>IF(ISERROR(CP38/CP20),"",CP38/CP20)</f>
        <v/>
      </c>
      <c r="CR38" s="373">
        <f t="shared" si="23"/>
        <v>0</v>
      </c>
      <c r="CS38" s="113"/>
      <c r="CT38" s="250">
        <f>CT31-CT37</f>
        <v>0</v>
      </c>
      <c r="CU38" s="278" t="str">
        <f>IF(ISERROR(CT38/CT20),"",CT38/CT20)</f>
        <v/>
      </c>
      <c r="CV38" s="373">
        <f>CV31-CV37</f>
        <v>0</v>
      </c>
      <c r="CW38" s="374" t="str">
        <f>IF(ISERROR(CV38/CV20),"",CV38/CV20)</f>
        <v/>
      </c>
      <c r="CX38" s="373">
        <f t="shared" si="24"/>
        <v>0</v>
      </c>
      <c r="CY38" s="113"/>
      <c r="CZ38" s="250">
        <f>CZ31-CZ37</f>
        <v>0</v>
      </c>
      <c r="DA38" s="278" t="str">
        <f>IF(ISERROR(CZ38/CZ20),"",CZ38/CZ20)</f>
        <v/>
      </c>
      <c r="DB38" s="373">
        <f>DB31-DB37</f>
        <v>0</v>
      </c>
      <c r="DC38" s="374" t="str">
        <f>IF(ISERROR(DB38/DB20),"",DB38/DB20)</f>
        <v/>
      </c>
      <c r="DD38" s="373">
        <f t="shared" si="25"/>
        <v>0</v>
      </c>
      <c r="DE38" s="113"/>
      <c r="DF38" s="238">
        <f t="shared" si="26"/>
        <v>0</v>
      </c>
      <c r="DG38" s="278" t="str">
        <f>IF(ISERROR(DF38/DF20),"",DF38/DF20)</f>
        <v/>
      </c>
      <c r="DH38" s="239">
        <f t="shared" si="27"/>
        <v>0</v>
      </c>
      <c r="DI38" s="278" t="str">
        <f>IF(ISERROR(DH38/DH20),"",DH38/DH20)</f>
        <v/>
      </c>
      <c r="DJ38" s="239">
        <f t="shared" si="28"/>
        <v>0</v>
      </c>
      <c r="DK38" s="12"/>
    </row>
    <row r="39" spans="1:115" s="3" customFormat="1" ht="21.75" customHeight="1" outlineLevel="1" thickTop="1" thickBot="1" x14ac:dyDescent="0.3">
      <c r="A39" s="80">
        <v>30</v>
      </c>
      <c r="B39" s="618"/>
      <c r="C39" s="761"/>
      <c r="D39" s="631" t="s">
        <v>58</v>
      </c>
      <c r="E39" s="663" t="s">
        <v>59</v>
      </c>
      <c r="F39" s="689" t="s">
        <v>60</v>
      </c>
      <c r="G39" s="690"/>
      <c r="H39" s="690"/>
      <c r="I39" s="691"/>
      <c r="J39" s="236">
        <f t="shared" si="0"/>
        <v>0</v>
      </c>
      <c r="K39" s="299"/>
      <c r="L39" s="237">
        <f t="shared" si="1"/>
        <v>0</v>
      </c>
      <c r="M39" s="299"/>
      <c r="N39" s="210">
        <f t="shared" si="2"/>
        <v>0</v>
      </c>
      <c r="O39" s="49">
        <f t="shared" si="3"/>
        <v>0</v>
      </c>
      <c r="P39" s="47"/>
      <c r="Q39" s="519"/>
      <c r="R39" s="511"/>
      <c r="S39" s="367"/>
      <c r="T39" s="368"/>
      <c r="U39" s="367">
        <f t="shared" si="4"/>
        <v>0</v>
      </c>
      <c r="V39" s="110"/>
      <c r="W39" s="519"/>
      <c r="X39" s="511"/>
      <c r="Y39" s="367"/>
      <c r="Z39" s="368"/>
      <c r="AA39" s="367">
        <f t="shared" si="5"/>
        <v>0</v>
      </c>
      <c r="AB39" s="110"/>
      <c r="AC39" s="519"/>
      <c r="AD39" s="511"/>
      <c r="AE39" s="367"/>
      <c r="AF39" s="368"/>
      <c r="AG39" s="367">
        <f t="shared" si="6"/>
        <v>0</v>
      </c>
      <c r="AH39" s="111">
        <f t="shared" si="7"/>
        <v>0</v>
      </c>
      <c r="AI39" s="289">
        <f t="shared" si="8"/>
        <v>0</v>
      </c>
      <c r="AJ39" s="299"/>
      <c r="AK39" s="237">
        <f t="shared" si="9"/>
        <v>0</v>
      </c>
      <c r="AL39" s="299"/>
      <c r="AM39" s="237">
        <f t="shared" si="10"/>
        <v>0</v>
      </c>
      <c r="AN39" s="110"/>
      <c r="AO39" s="99"/>
      <c r="AP39" s="519"/>
      <c r="AQ39" s="511"/>
      <c r="AR39" s="367"/>
      <c r="AS39" s="368"/>
      <c r="AT39" s="367">
        <f t="shared" si="11"/>
        <v>0</v>
      </c>
      <c r="AU39" s="110"/>
      <c r="AV39" s="519"/>
      <c r="AW39" s="511"/>
      <c r="AX39" s="367"/>
      <c r="AY39" s="368"/>
      <c r="AZ39" s="367">
        <f t="shared" si="12"/>
        <v>0</v>
      </c>
      <c r="BA39" s="110"/>
      <c r="BB39" s="519"/>
      <c r="BC39" s="511"/>
      <c r="BD39" s="367"/>
      <c r="BE39" s="368"/>
      <c r="BF39" s="367">
        <f t="shared" si="13"/>
        <v>0</v>
      </c>
      <c r="BG39" s="110"/>
      <c r="BH39" s="289">
        <f t="shared" si="14"/>
        <v>0</v>
      </c>
      <c r="BI39" s="299"/>
      <c r="BJ39" s="237">
        <f t="shared" si="15"/>
        <v>0</v>
      </c>
      <c r="BK39" s="299"/>
      <c r="BL39" s="237">
        <f t="shared" si="16"/>
        <v>0</v>
      </c>
      <c r="BM39" s="110"/>
      <c r="BN39" s="99"/>
      <c r="BO39" s="519"/>
      <c r="BP39" s="511"/>
      <c r="BQ39" s="367"/>
      <c r="BR39" s="368"/>
      <c r="BS39" s="367">
        <f t="shared" si="17"/>
        <v>0</v>
      </c>
      <c r="BT39" s="110"/>
      <c r="BU39" s="519"/>
      <c r="BV39" s="511"/>
      <c r="BW39" s="367"/>
      <c r="BX39" s="368"/>
      <c r="BY39" s="367">
        <f t="shared" si="18"/>
        <v>0</v>
      </c>
      <c r="BZ39" s="110"/>
      <c r="CA39" s="519"/>
      <c r="CB39" s="511"/>
      <c r="CC39" s="367"/>
      <c r="CD39" s="368"/>
      <c r="CE39" s="367">
        <f t="shared" si="19"/>
        <v>0</v>
      </c>
      <c r="CF39" s="110"/>
      <c r="CG39" s="289">
        <f t="shared" si="20"/>
        <v>0</v>
      </c>
      <c r="CH39" s="299"/>
      <c r="CI39" s="237">
        <f t="shared" si="21"/>
        <v>0</v>
      </c>
      <c r="CJ39" s="299"/>
      <c r="CK39" s="237">
        <f t="shared" si="22"/>
        <v>0</v>
      </c>
      <c r="CL39" s="110"/>
      <c r="CM39" s="100"/>
      <c r="CN39" s="519"/>
      <c r="CO39" s="511"/>
      <c r="CP39" s="367"/>
      <c r="CQ39" s="368"/>
      <c r="CR39" s="367">
        <f t="shared" si="23"/>
        <v>0</v>
      </c>
      <c r="CS39" s="110"/>
      <c r="CT39" s="519"/>
      <c r="CU39" s="511"/>
      <c r="CV39" s="367"/>
      <c r="CW39" s="368"/>
      <c r="CX39" s="367">
        <f t="shared" si="24"/>
        <v>0</v>
      </c>
      <c r="CY39" s="110"/>
      <c r="CZ39" s="519"/>
      <c r="DA39" s="511"/>
      <c r="DB39" s="367"/>
      <c r="DC39" s="368"/>
      <c r="DD39" s="367">
        <f t="shared" si="25"/>
        <v>0</v>
      </c>
      <c r="DE39" s="110"/>
      <c r="DF39" s="289">
        <f t="shared" si="26"/>
        <v>0</v>
      </c>
      <c r="DG39" s="299"/>
      <c r="DH39" s="237">
        <f t="shared" si="27"/>
        <v>0</v>
      </c>
      <c r="DI39" s="299"/>
      <c r="DJ39" s="237">
        <f t="shared" si="28"/>
        <v>0</v>
      </c>
      <c r="DK39" s="11"/>
    </row>
    <row r="40" spans="1:115" s="3" customFormat="1" ht="21.75" customHeight="1" outlineLevel="1" thickTop="1" x14ac:dyDescent="0.25">
      <c r="A40" s="80">
        <v>31</v>
      </c>
      <c r="B40" s="618"/>
      <c r="C40" s="761"/>
      <c r="D40" s="632"/>
      <c r="E40" s="663"/>
      <c r="F40" s="576" t="s">
        <v>61</v>
      </c>
      <c r="G40" s="577"/>
      <c r="H40" s="577"/>
      <c r="I40" s="578"/>
      <c r="J40" s="236">
        <f t="shared" si="0"/>
        <v>0</v>
      </c>
      <c r="K40" s="299" t="str">
        <f>IF(ISERROR(J40/J39),"",J40/J39)</f>
        <v/>
      </c>
      <c r="L40" s="237">
        <f t="shared" si="1"/>
        <v>0</v>
      </c>
      <c r="M40" s="299" t="str">
        <f>IF(ISERROR(L40/L39),"",L40/L39)</f>
        <v/>
      </c>
      <c r="N40" s="210">
        <f t="shared" si="2"/>
        <v>0</v>
      </c>
      <c r="O40" s="49" t="e">
        <f t="shared" si="3"/>
        <v>#VALUE!</v>
      </c>
      <c r="P40" s="47"/>
      <c r="Q40" s="512">
        <f>IF(ISERROR(R40*Q39),"",R40*Q39)</f>
        <v>0</v>
      </c>
      <c r="R40" s="520"/>
      <c r="S40" s="369"/>
      <c r="T40" s="368" t="str">
        <f>IF(ISERROR(S40/S39),"",S40/S39)</f>
        <v/>
      </c>
      <c r="U40" s="367">
        <f t="shared" si="4"/>
        <v>0</v>
      </c>
      <c r="V40" s="110"/>
      <c r="W40" s="512">
        <f>IF(ISERROR(X40*W39),"",X40*W39)</f>
        <v>0</v>
      </c>
      <c r="X40" s="520"/>
      <c r="Y40" s="369"/>
      <c r="Z40" s="368" t="str">
        <f>IF(ISERROR(Y40/Y39),"",Y40/Y39)</f>
        <v/>
      </c>
      <c r="AA40" s="367">
        <f t="shared" si="5"/>
        <v>0</v>
      </c>
      <c r="AB40" s="110"/>
      <c r="AC40" s="512">
        <f>IF(ISERROR(AD40*AC39),"",AD40*AC39)</f>
        <v>0</v>
      </c>
      <c r="AD40" s="520"/>
      <c r="AE40" s="369"/>
      <c r="AF40" s="368" t="str">
        <f>IF(ISERROR(AE40/AE39),"",AE40/AE39)</f>
        <v/>
      </c>
      <c r="AG40" s="367">
        <f t="shared" si="6"/>
        <v>0</v>
      </c>
      <c r="AH40" s="111" t="e">
        <f t="shared" si="7"/>
        <v>#VALUE!</v>
      </c>
      <c r="AI40" s="289">
        <f t="shared" si="8"/>
        <v>0</v>
      </c>
      <c r="AJ40" s="299" t="str">
        <f>IF(ISERROR(AI40/AI39),"",AI40/AI39)</f>
        <v/>
      </c>
      <c r="AK40" s="237">
        <f t="shared" si="9"/>
        <v>0</v>
      </c>
      <c r="AL40" s="299" t="str">
        <f>IF(ISERROR(AK40/AK39),"",AK40/AK39)</f>
        <v/>
      </c>
      <c r="AM40" s="237">
        <f t="shared" si="10"/>
        <v>0</v>
      </c>
      <c r="AN40" s="110"/>
      <c r="AO40" s="99"/>
      <c r="AP40" s="512">
        <f>IF(ISERROR(AQ40*AP39),"",AQ40*AP39)</f>
        <v>0</v>
      </c>
      <c r="AQ40" s="520"/>
      <c r="AR40" s="369"/>
      <c r="AS40" s="368" t="str">
        <f>IF(ISERROR(AR40/AR39),"",AR40/AR39)</f>
        <v/>
      </c>
      <c r="AT40" s="367">
        <f t="shared" si="11"/>
        <v>0</v>
      </c>
      <c r="AU40" s="110"/>
      <c r="AV40" s="512">
        <f>IF(ISERROR(AW40*AV39),"",AW40*AV39)</f>
        <v>0</v>
      </c>
      <c r="AW40" s="520"/>
      <c r="AX40" s="369"/>
      <c r="AY40" s="368" t="str">
        <f>IF(ISERROR(AX40/AX39),"",AX40/AX39)</f>
        <v/>
      </c>
      <c r="AZ40" s="367">
        <f t="shared" si="12"/>
        <v>0</v>
      </c>
      <c r="BA40" s="110"/>
      <c r="BB40" s="512">
        <f>IF(ISERROR(BC40*BB39),"",BC40*BB39)</f>
        <v>0</v>
      </c>
      <c r="BC40" s="520"/>
      <c r="BD40" s="369"/>
      <c r="BE40" s="368" t="str">
        <f>IF(ISERROR(BD40/BD39),"",BD40/BD39)</f>
        <v/>
      </c>
      <c r="BF40" s="367">
        <f t="shared" si="13"/>
        <v>0</v>
      </c>
      <c r="BG40" s="110"/>
      <c r="BH40" s="289">
        <f t="shared" si="14"/>
        <v>0</v>
      </c>
      <c r="BI40" s="299" t="str">
        <f>IF(ISERROR(BH40/BH39),"",BH40/BH39)</f>
        <v/>
      </c>
      <c r="BJ40" s="237">
        <f t="shared" si="15"/>
        <v>0</v>
      </c>
      <c r="BK40" s="299" t="str">
        <f>IF(ISERROR(BJ40/BJ39),"",BJ40/BJ39)</f>
        <v/>
      </c>
      <c r="BL40" s="237">
        <f t="shared" si="16"/>
        <v>0</v>
      </c>
      <c r="BM40" s="110"/>
      <c r="BN40" s="99"/>
      <c r="BO40" s="512">
        <f>IF(ISERROR(BP40*BO39),"",BP40*BO39)</f>
        <v>0</v>
      </c>
      <c r="BP40" s="520"/>
      <c r="BQ40" s="369"/>
      <c r="BR40" s="368" t="str">
        <f>IF(ISERROR(BQ40/BQ39),"",BQ40/BQ39)</f>
        <v/>
      </c>
      <c r="BS40" s="367">
        <f t="shared" si="17"/>
        <v>0</v>
      </c>
      <c r="BT40" s="110"/>
      <c r="BU40" s="512">
        <f>IF(ISERROR(BV40*BU39),"",BV40*BU39)</f>
        <v>0</v>
      </c>
      <c r="BV40" s="520"/>
      <c r="BW40" s="369"/>
      <c r="BX40" s="368" t="str">
        <f>IF(ISERROR(BW40/BW39),"",BW40/BW39)</f>
        <v/>
      </c>
      <c r="BY40" s="367">
        <f t="shared" si="18"/>
        <v>0</v>
      </c>
      <c r="BZ40" s="110"/>
      <c r="CA40" s="512">
        <f>IF(ISERROR(CB40*CA39),"",CB40*CA39)</f>
        <v>0</v>
      </c>
      <c r="CB40" s="520"/>
      <c r="CC40" s="369"/>
      <c r="CD40" s="368" t="str">
        <f>IF(ISERROR(CC40/CC39),"",CC40/CC39)</f>
        <v/>
      </c>
      <c r="CE40" s="367">
        <f t="shared" si="19"/>
        <v>0</v>
      </c>
      <c r="CF40" s="110"/>
      <c r="CG40" s="289">
        <f t="shared" si="20"/>
        <v>0</v>
      </c>
      <c r="CH40" s="299" t="str">
        <f>IF(ISERROR(CG40/CG39),"",CG40/CG39)</f>
        <v/>
      </c>
      <c r="CI40" s="237">
        <f t="shared" si="21"/>
        <v>0</v>
      </c>
      <c r="CJ40" s="299" t="str">
        <f>IF(ISERROR(CI40/CI39),"",CI40/CI39)</f>
        <v/>
      </c>
      <c r="CK40" s="237">
        <f t="shared" si="22"/>
        <v>0</v>
      </c>
      <c r="CL40" s="110"/>
      <c r="CM40" s="100"/>
      <c r="CN40" s="512">
        <f>IF(ISERROR(CO40*CN39),"",CO40*CN39)</f>
        <v>0</v>
      </c>
      <c r="CO40" s="520"/>
      <c r="CP40" s="369"/>
      <c r="CQ40" s="368" t="str">
        <f>IF(ISERROR(CP40/CP39),"",CP40/CP39)</f>
        <v/>
      </c>
      <c r="CR40" s="367">
        <f t="shared" si="23"/>
        <v>0</v>
      </c>
      <c r="CS40" s="110"/>
      <c r="CT40" s="512">
        <f>IF(ISERROR(CU40*CT39),"",CU40*CT39)</f>
        <v>0</v>
      </c>
      <c r="CU40" s="520"/>
      <c r="CV40" s="369"/>
      <c r="CW40" s="368" t="str">
        <f>IF(ISERROR(CV40/CV39),"",CV40/CV39)</f>
        <v/>
      </c>
      <c r="CX40" s="367">
        <f t="shared" si="24"/>
        <v>0</v>
      </c>
      <c r="CY40" s="110"/>
      <c r="CZ40" s="512">
        <f>IF(ISERROR(DA40*CZ39),"",DA40*CZ39)</f>
        <v>0</v>
      </c>
      <c r="DA40" s="520"/>
      <c r="DB40" s="369"/>
      <c r="DC40" s="368" t="str">
        <f>IF(ISERROR(DB40/DB39),"",DB40/DB39)</f>
        <v/>
      </c>
      <c r="DD40" s="367">
        <f t="shared" si="25"/>
        <v>0</v>
      </c>
      <c r="DE40" s="110"/>
      <c r="DF40" s="289">
        <f t="shared" si="26"/>
        <v>0</v>
      </c>
      <c r="DG40" s="299" t="str">
        <f>IF(ISERROR(DF40/DF39),"",DF40/DF39)</f>
        <v/>
      </c>
      <c r="DH40" s="237">
        <f t="shared" si="27"/>
        <v>0</v>
      </c>
      <c r="DI40" s="299" t="str">
        <f>IF(ISERROR(DH40/DH39),"",DH40/DH39)</f>
        <v/>
      </c>
      <c r="DJ40" s="237">
        <f t="shared" si="28"/>
        <v>0</v>
      </c>
      <c r="DK40" s="11"/>
    </row>
    <row r="41" spans="1:115" s="3" customFormat="1" ht="21.75" customHeight="1" outlineLevel="1" x14ac:dyDescent="0.25">
      <c r="A41" s="80">
        <v>32</v>
      </c>
      <c r="B41" s="618"/>
      <c r="C41" s="761"/>
      <c r="D41" s="632"/>
      <c r="E41" s="663"/>
      <c r="F41" s="634" t="s">
        <v>43</v>
      </c>
      <c r="G41" s="635"/>
      <c r="H41" s="635"/>
      <c r="I41" s="636"/>
      <c r="J41" s="230">
        <f t="shared" si="0"/>
        <v>0</v>
      </c>
      <c r="K41" s="296" t="str">
        <f>IF(ISERROR(J41/J39),"",J41/J39)</f>
        <v/>
      </c>
      <c r="L41" s="231">
        <f t="shared" si="1"/>
        <v>0</v>
      </c>
      <c r="M41" s="296" t="str">
        <f>IF(ISERROR(L41/L39),"",L41/L39)</f>
        <v/>
      </c>
      <c r="N41" s="207">
        <f t="shared" si="2"/>
        <v>0</v>
      </c>
      <c r="O41" s="45" t="e">
        <f t="shared" si="3"/>
        <v>#VALUE!</v>
      </c>
      <c r="P41" s="47"/>
      <c r="Q41" s="512">
        <f>IF(ISERROR(R41*Q39),"",R41*Q39)</f>
        <v>0</v>
      </c>
      <c r="R41" s="521"/>
      <c r="S41" s="371"/>
      <c r="T41" s="359" t="str">
        <f>IF(ISERROR(S41/S39),"",S41/S39)</f>
        <v/>
      </c>
      <c r="U41" s="358">
        <f t="shared" si="4"/>
        <v>0</v>
      </c>
      <c r="V41" s="102"/>
      <c r="W41" s="512">
        <f>IF(ISERROR(X41*W39),"",X41*W39)</f>
        <v>0</v>
      </c>
      <c r="X41" s="521"/>
      <c r="Y41" s="371"/>
      <c r="Z41" s="359" t="str">
        <f>IF(ISERROR(Y41/Y39),"",Y41/Y39)</f>
        <v/>
      </c>
      <c r="AA41" s="358">
        <f t="shared" si="5"/>
        <v>0</v>
      </c>
      <c r="AB41" s="102"/>
      <c r="AC41" s="512">
        <f>IF(ISERROR(AD41*AC39),"",AD41*AC39)</f>
        <v>0</v>
      </c>
      <c r="AD41" s="521"/>
      <c r="AE41" s="371"/>
      <c r="AF41" s="359" t="str">
        <f>IF(ISERROR(AE41/AE39),"",AE41/AE39)</f>
        <v/>
      </c>
      <c r="AG41" s="358">
        <f t="shared" si="6"/>
        <v>0</v>
      </c>
      <c r="AH41" s="103" t="e">
        <f t="shared" si="7"/>
        <v>#VALUE!</v>
      </c>
      <c r="AI41" s="286">
        <f t="shared" si="8"/>
        <v>0</v>
      </c>
      <c r="AJ41" s="296" t="str">
        <f>IF(ISERROR(AI41/AI39),"",AI41/AI39)</f>
        <v/>
      </c>
      <c r="AK41" s="231">
        <f t="shared" si="9"/>
        <v>0</v>
      </c>
      <c r="AL41" s="296" t="str">
        <f>IF(ISERROR(AK41/AK39),"",AK41/AK39)</f>
        <v/>
      </c>
      <c r="AM41" s="231">
        <f t="shared" si="10"/>
        <v>0</v>
      </c>
      <c r="AN41" s="102"/>
      <c r="AO41" s="99"/>
      <c r="AP41" s="512">
        <f>IF(ISERROR(AQ41*AP39),"",AQ41*AP39)</f>
        <v>0</v>
      </c>
      <c r="AQ41" s="521"/>
      <c r="AR41" s="371"/>
      <c r="AS41" s="359" t="str">
        <f>IF(ISERROR(AR41/AR39),"",AR41/AR39)</f>
        <v/>
      </c>
      <c r="AT41" s="358">
        <f t="shared" si="11"/>
        <v>0</v>
      </c>
      <c r="AU41" s="102"/>
      <c r="AV41" s="512">
        <f>IF(ISERROR(AW41*AV39),"",AW41*AV39)</f>
        <v>0</v>
      </c>
      <c r="AW41" s="521"/>
      <c r="AX41" s="371"/>
      <c r="AY41" s="359" t="str">
        <f>IF(ISERROR(AX41/AX39),"",AX41/AX39)</f>
        <v/>
      </c>
      <c r="AZ41" s="358">
        <f t="shared" si="12"/>
        <v>0</v>
      </c>
      <c r="BA41" s="102"/>
      <c r="BB41" s="512">
        <f>IF(ISERROR(BC41*BB39),"",BC41*BB39)</f>
        <v>0</v>
      </c>
      <c r="BC41" s="521"/>
      <c r="BD41" s="371"/>
      <c r="BE41" s="359" t="str">
        <f>IF(ISERROR(BD41/BD39),"",BD41/BD39)</f>
        <v/>
      </c>
      <c r="BF41" s="358">
        <f t="shared" si="13"/>
        <v>0</v>
      </c>
      <c r="BG41" s="102"/>
      <c r="BH41" s="286">
        <f t="shared" si="14"/>
        <v>0</v>
      </c>
      <c r="BI41" s="296" t="str">
        <f>IF(ISERROR(BH41/BH39),"",BH41/BH39)</f>
        <v/>
      </c>
      <c r="BJ41" s="231">
        <f t="shared" si="15"/>
        <v>0</v>
      </c>
      <c r="BK41" s="296" t="str">
        <f>IF(ISERROR(BJ41/BJ39),"",BJ41/BJ39)</f>
        <v/>
      </c>
      <c r="BL41" s="231">
        <f t="shared" si="16"/>
        <v>0</v>
      </c>
      <c r="BM41" s="102"/>
      <c r="BN41" s="99"/>
      <c r="BO41" s="512">
        <f>IF(ISERROR(BP41*BO39),"",BP41*BO39)</f>
        <v>0</v>
      </c>
      <c r="BP41" s="521"/>
      <c r="BQ41" s="371"/>
      <c r="BR41" s="359" t="str">
        <f>IF(ISERROR(BQ41/BQ39),"",BQ41/BQ39)</f>
        <v/>
      </c>
      <c r="BS41" s="358">
        <f t="shared" si="17"/>
        <v>0</v>
      </c>
      <c r="BT41" s="102"/>
      <c r="BU41" s="512">
        <f>IF(ISERROR(BV41*BU39),"",BV41*BU39)</f>
        <v>0</v>
      </c>
      <c r="BV41" s="521"/>
      <c r="BW41" s="371"/>
      <c r="BX41" s="359" t="str">
        <f>IF(ISERROR(BW41/BW39),"",BW41/BW39)</f>
        <v/>
      </c>
      <c r="BY41" s="358">
        <f t="shared" si="18"/>
        <v>0</v>
      </c>
      <c r="BZ41" s="102"/>
      <c r="CA41" s="512">
        <f>IF(ISERROR(CB41*CA39),"",CB41*CA39)</f>
        <v>0</v>
      </c>
      <c r="CB41" s="521"/>
      <c r="CC41" s="371"/>
      <c r="CD41" s="359" t="str">
        <f>IF(ISERROR(CC41/CC39),"",CC41/CC39)</f>
        <v/>
      </c>
      <c r="CE41" s="358">
        <f t="shared" si="19"/>
        <v>0</v>
      </c>
      <c r="CF41" s="102"/>
      <c r="CG41" s="286">
        <f t="shared" si="20"/>
        <v>0</v>
      </c>
      <c r="CH41" s="296" t="str">
        <f>IF(ISERROR(CG41/CG39),"",CG41/CG39)</f>
        <v/>
      </c>
      <c r="CI41" s="231">
        <f t="shared" si="21"/>
        <v>0</v>
      </c>
      <c r="CJ41" s="296" t="str">
        <f>IF(ISERROR(CI41/CI39),"",CI41/CI39)</f>
        <v/>
      </c>
      <c r="CK41" s="231">
        <f t="shared" si="22"/>
        <v>0</v>
      </c>
      <c r="CL41" s="102"/>
      <c r="CM41" s="100"/>
      <c r="CN41" s="512">
        <f>IF(ISERROR(CO41*CN39),"",CO41*CN39)</f>
        <v>0</v>
      </c>
      <c r="CO41" s="521"/>
      <c r="CP41" s="371"/>
      <c r="CQ41" s="359" t="str">
        <f>IF(ISERROR(CP41/CP39),"",CP41/CP39)</f>
        <v/>
      </c>
      <c r="CR41" s="358">
        <f t="shared" si="23"/>
        <v>0</v>
      </c>
      <c r="CS41" s="102"/>
      <c r="CT41" s="512">
        <f>IF(ISERROR(CU41*CT39),"",CU41*CT39)</f>
        <v>0</v>
      </c>
      <c r="CU41" s="521"/>
      <c r="CV41" s="371"/>
      <c r="CW41" s="359" t="str">
        <f>IF(ISERROR(CV41/CV39),"",CV41/CV39)</f>
        <v/>
      </c>
      <c r="CX41" s="358">
        <f t="shared" si="24"/>
        <v>0</v>
      </c>
      <c r="CY41" s="102"/>
      <c r="CZ41" s="512">
        <f>IF(ISERROR(DA41*CZ39),"",DA41*CZ39)</f>
        <v>0</v>
      </c>
      <c r="DA41" s="521"/>
      <c r="DB41" s="371"/>
      <c r="DC41" s="359" t="str">
        <f>IF(ISERROR(DB41/DB39),"",DB41/DB39)</f>
        <v/>
      </c>
      <c r="DD41" s="358">
        <f t="shared" si="25"/>
        <v>0</v>
      </c>
      <c r="DE41" s="102"/>
      <c r="DF41" s="286">
        <f t="shared" si="26"/>
        <v>0</v>
      </c>
      <c r="DG41" s="296" t="str">
        <f>IF(ISERROR(DF41/DF39),"",DF41/DF39)</f>
        <v/>
      </c>
      <c r="DH41" s="231">
        <f t="shared" si="27"/>
        <v>0</v>
      </c>
      <c r="DI41" s="296" t="str">
        <f>IF(ISERROR(DH41/DH39),"",DH41/DH39)</f>
        <v/>
      </c>
      <c r="DJ41" s="231">
        <f t="shared" si="28"/>
        <v>0</v>
      </c>
      <c r="DK41" s="8"/>
    </row>
    <row r="42" spans="1:115" s="3" customFormat="1" ht="21.75" customHeight="1" outlineLevel="1" x14ac:dyDescent="0.25">
      <c r="A42" s="80">
        <v>33</v>
      </c>
      <c r="B42" s="618"/>
      <c r="C42" s="761"/>
      <c r="D42" s="632"/>
      <c r="E42" s="663"/>
      <c r="F42" s="640" t="s">
        <v>45</v>
      </c>
      <c r="G42" s="641"/>
      <c r="H42" s="641"/>
      <c r="I42" s="642"/>
      <c r="J42" s="230">
        <f t="shared" ref="J42:J73" si="29">SUM(Q42,W42,AC42,AP42,AV42,BB42,BO42,BU42,CA42,CN42,CT42,CZ42)</f>
        <v>0</v>
      </c>
      <c r="K42" s="296" t="str">
        <f>IF(ISERROR(J42/J39),"",J42/J39)</f>
        <v/>
      </c>
      <c r="L42" s="231">
        <f t="shared" ref="L42:L73" si="30">SUM(S42,Y42,AE42,AR42,AX42,BD42,BQ42,BW42,CC42,CP42,CV42,DB42)</f>
        <v>0</v>
      </c>
      <c r="M42" s="296" t="str">
        <f>IF(ISERROR(L42/L39),"",L42/L39)</f>
        <v/>
      </c>
      <c r="N42" s="207">
        <f t="shared" ref="N42:N73" si="31">J42-L42</f>
        <v>0</v>
      </c>
      <c r="O42" s="45" t="e">
        <f t="shared" ref="O42:O73" si="32">SUM(V42,AB42,AH42,AU42,BA42,BG42,BT42,BZ42,CF42,CS42,CY42,DE42)</f>
        <v>#VALUE!</v>
      </c>
      <c r="P42" s="47"/>
      <c r="Q42" s="512">
        <f>IF(ISERROR(R42*Q39),"",R42*Q39)</f>
        <v>0</v>
      </c>
      <c r="R42" s="521"/>
      <c r="S42" s="371"/>
      <c r="T42" s="359" t="str">
        <f>IF(ISERROR(S42/S39),"",S42/S39)</f>
        <v/>
      </c>
      <c r="U42" s="358">
        <f t="shared" ref="U42:U73" si="33">Q42-S42</f>
        <v>0</v>
      </c>
      <c r="V42" s="102"/>
      <c r="W42" s="512">
        <f>IF(ISERROR(X42*W39),"",X42*W39)</f>
        <v>0</v>
      </c>
      <c r="X42" s="521"/>
      <c r="Y42" s="371"/>
      <c r="Z42" s="359" t="str">
        <f>IF(ISERROR(Y42/Y39),"",Y42/Y39)</f>
        <v/>
      </c>
      <c r="AA42" s="358">
        <f t="shared" si="5"/>
        <v>0</v>
      </c>
      <c r="AB42" s="102"/>
      <c r="AC42" s="512">
        <f>IF(ISERROR(AD42*AC39),"",AD42*AC39)</f>
        <v>0</v>
      </c>
      <c r="AD42" s="521"/>
      <c r="AE42" s="371"/>
      <c r="AF42" s="359" t="str">
        <f>IF(ISERROR(AE42/AE39),"",AE42/AE39)</f>
        <v/>
      </c>
      <c r="AG42" s="358">
        <f t="shared" si="6"/>
        <v>0</v>
      </c>
      <c r="AH42" s="103" t="e">
        <f t="shared" ref="AH42:AH73" si="34">AE42-AF42</f>
        <v>#VALUE!</v>
      </c>
      <c r="AI42" s="286">
        <f t="shared" ref="AI42:AI73" si="35">SUM(Q42,W42,AC42)</f>
        <v>0</v>
      </c>
      <c r="AJ42" s="296" t="str">
        <f>IF(ISERROR(AI42/AI39),"",AI42/AI39)</f>
        <v/>
      </c>
      <c r="AK42" s="231">
        <f t="shared" ref="AK42:AK73" si="36">SUM(S42,Y42,AE42)</f>
        <v>0</v>
      </c>
      <c r="AL42" s="296" t="str">
        <f>IF(ISERROR(AK42/AK39),"",AK42/AK39)</f>
        <v/>
      </c>
      <c r="AM42" s="231">
        <f t="shared" ref="AM42:AM73" si="37">AI42-AK42</f>
        <v>0</v>
      </c>
      <c r="AN42" s="102"/>
      <c r="AO42" s="99"/>
      <c r="AP42" s="512">
        <f>IF(ISERROR(AQ42*AP39),"",AQ42*AP39)</f>
        <v>0</v>
      </c>
      <c r="AQ42" s="521"/>
      <c r="AR42" s="371"/>
      <c r="AS42" s="359" t="str">
        <f>IF(ISERROR(AR42/AR39),"",AR42/AR39)</f>
        <v/>
      </c>
      <c r="AT42" s="358">
        <f t="shared" si="11"/>
        <v>0</v>
      </c>
      <c r="AU42" s="102"/>
      <c r="AV42" s="512">
        <f>IF(ISERROR(AW42*AV39),"",AW42*AV39)</f>
        <v>0</v>
      </c>
      <c r="AW42" s="521"/>
      <c r="AX42" s="371"/>
      <c r="AY42" s="359" t="str">
        <f>IF(ISERROR(AX42/AX39),"",AX42/AX39)</f>
        <v/>
      </c>
      <c r="AZ42" s="358">
        <f t="shared" si="12"/>
        <v>0</v>
      </c>
      <c r="BA42" s="102"/>
      <c r="BB42" s="512">
        <f>IF(ISERROR(BC42*BB39),"",BC42*BB39)</f>
        <v>0</v>
      </c>
      <c r="BC42" s="521"/>
      <c r="BD42" s="371"/>
      <c r="BE42" s="359" t="str">
        <f>IF(ISERROR(BD42/BD39),"",BD42/BD39)</f>
        <v/>
      </c>
      <c r="BF42" s="358">
        <f t="shared" si="13"/>
        <v>0</v>
      </c>
      <c r="BG42" s="102"/>
      <c r="BH42" s="286">
        <f t="shared" ref="BH42:BH73" si="38">SUM(AP42,AV42,BB42)</f>
        <v>0</v>
      </c>
      <c r="BI42" s="296" t="str">
        <f>IF(ISERROR(BH42/BH39),"",BH42/BH39)</f>
        <v/>
      </c>
      <c r="BJ42" s="231">
        <f t="shared" ref="BJ42:BJ73" si="39">SUM(AR42,AX42,BD42)</f>
        <v>0</v>
      </c>
      <c r="BK42" s="296" t="str">
        <f>IF(ISERROR(BJ42/BJ39),"",BJ42/BJ39)</f>
        <v/>
      </c>
      <c r="BL42" s="231">
        <f t="shared" ref="BL42:BL73" si="40">BH42-BJ42</f>
        <v>0</v>
      </c>
      <c r="BM42" s="102"/>
      <c r="BN42" s="99"/>
      <c r="BO42" s="512">
        <f>IF(ISERROR(BP42*BO39),"",BP42*BO39)</f>
        <v>0</v>
      </c>
      <c r="BP42" s="521"/>
      <c r="BQ42" s="371"/>
      <c r="BR42" s="359" t="str">
        <f>IF(ISERROR(BQ42/BQ39),"",BQ42/BQ39)</f>
        <v/>
      </c>
      <c r="BS42" s="358">
        <f t="shared" si="17"/>
        <v>0</v>
      </c>
      <c r="BT42" s="102"/>
      <c r="BU42" s="512">
        <f>IF(ISERROR(BV42*BU39),"",BV42*BU39)</f>
        <v>0</v>
      </c>
      <c r="BV42" s="521"/>
      <c r="BW42" s="371"/>
      <c r="BX42" s="359" t="str">
        <f>IF(ISERROR(BW42/BW39),"",BW42/BW39)</f>
        <v/>
      </c>
      <c r="BY42" s="358">
        <f t="shared" si="18"/>
        <v>0</v>
      </c>
      <c r="BZ42" s="102"/>
      <c r="CA42" s="512">
        <f>IF(ISERROR(CB42*CA39),"",CB42*CA39)</f>
        <v>0</v>
      </c>
      <c r="CB42" s="521"/>
      <c r="CC42" s="371"/>
      <c r="CD42" s="359" t="str">
        <f>IF(ISERROR(CC42/CC39),"",CC42/CC39)</f>
        <v/>
      </c>
      <c r="CE42" s="358">
        <f t="shared" si="19"/>
        <v>0</v>
      </c>
      <c r="CF42" s="102"/>
      <c r="CG42" s="286">
        <f t="shared" ref="CG42:CG73" si="41">SUM(BO42,BU42,CA42)</f>
        <v>0</v>
      </c>
      <c r="CH42" s="296" t="str">
        <f>IF(ISERROR(CG42/CG39),"",CG42/CG39)</f>
        <v/>
      </c>
      <c r="CI42" s="231">
        <f t="shared" ref="CI42:CI73" si="42">SUM(BQ42,BW42,CC42)</f>
        <v>0</v>
      </c>
      <c r="CJ42" s="296" t="str">
        <f>IF(ISERROR(CI42/CI39),"",CI42/CI39)</f>
        <v/>
      </c>
      <c r="CK42" s="231">
        <f t="shared" ref="CK42:CK73" si="43">CG42-CI42</f>
        <v>0</v>
      </c>
      <c r="CL42" s="102"/>
      <c r="CM42" s="100"/>
      <c r="CN42" s="512">
        <f>IF(ISERROR(CO42*CN39),"",CO42*CN39)</f>
        <v>0</v>
      </c>
      <c r="CO42" s="521"/>
      <c r="CP42" s="371"/>
      <c r="CQ42" s="359" t="str">
        <f>IF(ISERROR(CP42/CP39),"",CP42/CP39)</f>
        <v/>
      </c>
      <c r="CR42" s="358">
        <f t="shared" si="23"/>
        <v>0</v>
      </c>
      <c r="CS42" s="102"/>
      <c r="CT42" s="512">
        <f>IF(ISERROR(CU42*CT39),"",CU42*CT39)</f>
        <v>0</v>
      </c>
      <c r="CU42" s="521"/>
      <c r="CV42" s="371"/>
      <c r="CW42" s="359" t="str">
        <f>IF(ISERROR(CV42/CV39),"",CV42/CV39)</f>
        <v/>
      </c>
      <c r="CX42" s="358">
        <f t="shared" si="24"/>
        <v>0</v>
      </c>
      <c r="CY42" s="102"/>
      <c r="CZ42" s="512">
        <f>IF(ISERROR(DA42*CZ39),"",DA42*CZ39)</f>
        <v>0</v>
      </c>
      <c r="DA42" s="521"/>
      <c r="DB42" s="371"/>
      <c r="DC42" s="359" t="str">
        <f>IF(ISERROR(DB42/DB39),"",DB42/DB39)</f>
        <v/>
      </c>
      <c r="DD42" s="358">
        <f t="shared" si="25"/>
        <v>0</v>
      </c>
      <c r="DE42" s="102"/>
      <c r="DF42" s="286">
        <f t="shared" ref="DF42:DF73" si="44">SUM(CN42,CT42,CZ42)</f>
        <v>0</v>
      </c>
      <c r="DG42" s="296" t="str">
        <f>IF(ISERROR(DF42/DF39),"",DF42/DF39)</f>
        <v/>
      </c>
      <c r="DH42" s="231">
        <f t="shared" ref="DH42:DH73" si="45">SUM(CP42,CV42,DB42)</f>
        <v>0</v>
      </c>
      <c r="DI42" s="296" t="str">
        <f>IF(ISERROR(DH42/DH39),"",DH42/DH39)</f>
        <v/>
      </c>
      <c r="DJ42" s="231">
        <f t="shared" ref="DJ42:DJ73" si="46">DF42-DH42</f>
        <v>0</v>
      </c>
      <c r="DK42" s="8"/>
    </row>
    <row r="43" spans="1:115" s="3" customFormat="1" ht="21.75" customHeight="1" outlineLevel="1" x14ac:dyDescent="0.25">
      <c r="A43" s="80">
        <v>34</v>
      </c>
      <c r="B43" s="618"/>
      <c r="C43" s="761"/>
      <c r="D43" s="632"/>
      <c r="E43" s="663"/>
      <c r="F43" s="640" t="s">
        <v>46</v>
      </c>
      <c r="G43" s="641"/>
      <c r="H43" s="641"/>
      <c r="I43" s="642"/>
      <c r="J43" s="230">
        <f t="shared" si="29"/>
        <v>0</v>
      </c>
      <c r="K43" s="296" t="str">
        <f>IF(ISERROR(J43/J39),"",J43/J39)</f>
        <v/>
      </c>
      <c r="L43" s="231">
        <f t="shared" si="30"/>
        <v>0</v>
      </c>
      <c r="M43" s="296" t="str">
        <f>IF(ISERROR(L43/L39),"",L43/L39)</f>
        <v/>
      </c>
      <c r="N43" s="207">
        <f t="shared" si="31"/>
        <v>0</v>
      </c>
      <c r="O43" s="45" t="e">
        <f t="shared" si="32"/>
        <v>#VALUE!</v>
      </c>
      <c r="P43" s="47"/>
      <c r="Q43" s="512">
        <f>IF(ISERROR(R43*Q39),"",R43*Q39)</f>
        <v>0</v>
      </c>
      <c r="R43" s="521"/>
      <c r="S43" s="371"/>
      <c r="T43" s="359" t="str">
        <f>IF(ISERROR(S43/S39),"",S43/S39)</f>
        <v/>
      </c>
      <c r="U43" s="358">
        <f t="shared" si="33"/>
        <v>0</v>
      </c>
      <c r="V43" s="102"/>
      <c r="W43" s="512">
        <f>IF(ISERROR(X43*W39),"",X43*W39)</f>
        <v>0</v>
      </c>
      <c r="X43" s="521"/>
      <c r="Y43" s="371"/>
      <c r="Z43" s="359" t="str">
        <f>IF(ISERROR(Y43/Y39),"",Y43/Y39)</f>
        <v/>
      </c>
      <c r="AA43" s="358">
        <f t="shared" si="5"/>
        <v>0</v>
      </c>
      <c r="AB43" s="102"/>
      <c r="AC43" s="512">
        <f>IF(ISERROR(AD43*AC39),"",AD43*AC39)</f>
        <v>0</v>
      </c>
      <c r="AD43" s="521"/>
      <c r="AE43" s="371"/>
      <c r="AF43" s="359" t="str">
        <f>IF(ISERROR(AE43/AE39),"",AE43/AE39)</f>
        <v/>
      </c>
      <c r="AG43" s="358">
        <f t="shared" si="6"/>
        <v>0</v>
      </c>
      <c r="AH43" s="103" t="e">
        <f t="shared" si="34"/>
        <v>#VALUE!</v>
      </c>
      <c r="AI43" s="286">
        <f t="shared" si="35"/>
        <v>0</v>
      </c>
      <c r="AJ43" s="296" t="str">
        <f>IF(ISERROR(AI43/AI39),"",AI43/AI39)</f>
        <v/>
      </c>
      <c r="AK43" s="231">
        <f t="shared" si="36"/>
        <v>0</v>
      </c>
      <c r="AL43" s="296" t="str">
        <f>IF(ISERROR(AK43/AK39),"",AK43/AK39)</f>
        <v/>
      </c>
      <c r="AM43" s="231">
        <f t="shared" si="37"/>
        <v>0</v>
      </c>
      <c r="AN43" s="102"/>
      <c r="AO43" s="99"/>
      <c r="AP43" s="512">
        <f>IF(ISERROR(AQ43*AP39),"",AQ43*AP39)</f>
        <v>0</v>
      </c>
      <c r="AQ43" s="521"/>
      <c r="AR43" s="371"/>
      <c r="AS43" s="359" t="str">
        <f>IF(ISERROR(AR43/AR39),"",AR43/AR39)</f>
        <v/>
      </c>
      <c r="AT43" s="358">
        <f t="shared" si="11"/>
        <v>0</v>
      </c>
      <c r="AU43" s="102"/>
      <c r="AV43" s="512">
        <f>IF(ISERROR(AW43*AV39),"",AW43*AV39)</f>
        <v>0</v>
      </c>
      <c r="AW43" s="521"/>
      <c r="AX43" s="371"/>
      <c r="AY43" s="359" t="str">
        <f>IF(ISERROR(AX43/AX39),"",AX43/AX39)</f>
        <v/>
      </c>
      <c r="AZ43" s="358">
        <f t="shared" si="12"/>
        <v>0</v>
      </c>
      <c r="BA43" s="102"/>
      <c r="BB43" s="512">
        <f>IF(ISERROR(BC43*BB39),"",BC43*BB39)</f>
        <v>0</v>
      </c>
      <c r="BC43" s="521"/>
      <c r="BD43" s="371"/>
      <c r="BE43" s="359" t="str">
        <f>IF(ISERROR(BD43/BD39),"",BD43/BD39)</f>
        <v/>
      </c>
      <c r="BF43" s="358">
        <f t="shared" si="13"/>
        <v>0</v>
      </c>
      <c r="BG43" s="102"/>
      <c r="BH43" s="286">
        <f t="shared" si="38"/>
        <v>0</v>
      </c>
      <c r="BI43" s="296" t="str">
        <f>IF(ISERROR(BH43/BH39),"",BH43/BH39)</f>
        <v/>
      </c>
      <c r="BJ43" s="231">
        <f t="shared" si="39"/>
        <v>0</v>
      </c>
      <c r="BK43" s="296" t="str">
        <f>IF(ISERROR(BJ43/BJ39),"",BJ43/BJ39)</f>
        <v/>
      </c>
      <c r="BL43" s="231">
        <f t="shared" si="40"/>
        <v>0</v>
      </c>
      <c r="BM43" s="102"/>
      <c r="BN43" s="99"/>
      <c r="BO43" s="512">
        <f>IF(ISERROR(BP43*BO39),"",BP43*BO39)</f>
        <v>0</v>
      </c>
      <c r="BP43" s="521"/>
      <c r="BQ43" s="371"/>
      <c r="BR43" s="359" t="str">
        <f>IF(ISERROR(BQ43/BQ39),"",BQ43/BQ39)</f>
        <v/>
      </c>
      <c r="BS43" s="358">
        <f t="shared" si="17"/>
        <v>0</v>
      </c>
      <c r="BT43" s="102"/>
      <c r="BU43" s="512">
        <f>IF(ISERROR(BV43*BU39),"",BV43*BU39)</f>
        <v>0</v>
      </c>
      <c r="BV43" s="521"/>
      <c r="BW43" s="371"/>
      <c r="BX43" s="359" t="str">
        <f>IF(ISERROR(BW43/BW39),"",BW43/BW39)</f>
        <v/>
      </c>
      <c r="BY43" s="358">
        <f t="shared" si="18"/>
        <v>0</v>
      </c>
      <c r="BZ43" s="102"/>
      <c r="CA43" s="512">
        <f>IF(ISERROR(CB43*CA39),"",CB43*CA39)</f>
        <v>0</v>
      </c>
      <c r="CB43" s="521"/>
      <c r="CC43" s="371"/>
      <c r="CD43" s="359" t="str">
        <f>IF(ISERROR(CC43/CC39),"",CC43/CC39)</f>
        <v/>
      </c>
      <c r="CE43" s="358">
        <f t="shared" si="19"/>
        <v>0</v>
      </c>
      <c r="CF43" s="102"/>
      <c r="CG43" s="286">
        <f t="shared" si="41"/>
        <v>0</v>
      </c>
      <c r="CH43" s="296" t="str">
        <f>IF(ISERROR(CG43/CG39),"",CG43/CG39)</f>
        <v/>
      </c>
      <c r="CI43" s="231">
        <f t="shared" si="42"/>
        <v>0</v>
      </c>
      <c r="CJ43" s="296" t="str">
        <f>IF(ISERROR(CI43/CI39),"",CI43/CI39)</f>
        <v/>
      </c>
      <c r="CK43" s="231">
        <f t="shared" si="43"/>
        <v>0</v>
      </c>
      <c r="CL43" s="102"/>
      <c r="CM43" s="100"/>
      <c r="CN43" s="512">
        <f>IF(ISERROR(CO43*CN39),"",CO43*CN39)</f>
        <v>0</v>
      </c>
      <c r="CO43" s="521"/>
      <c r="CP43" s="371"/>
      <c r="CQ43" s="359" t="str">
        <f>IF(ISERROR(CP43/CP39),"",CP43/CP39)</f>
        <v/>
      </c>
      <c r="CR43" s="358">
        <f t="shared" si="23"/>
        <v>0</v>
      </c>
      <c r="CS43" s="102"/>
      <c r="CT43" s="512">
        <f>IF(ISERROR(CU43*CT39),"",CU43*CT39)</f>
        <v>0</v>
      </c>
      <c r="CU43" s="521"/>
      <c r="CV43" s="371"/>
      <c r="CW43" s="359" t="str">
        <f>IF(ISERROR(CV43/CV39),"",CV43/CV39)</f>
        <v/>
      </c>
      <c r="CX43" s="358">
        <f t="shared" si="24"/>
        <v>0</v>
      </c>
      <c r="CY43" s="102"/>
      <c r="CZ43" s="512">
        <f>IF(ISERROR(DA43*CZ39),"",DA43*CZ39)</f>
        <v>0</v>
      </c>
      <c r="DA43" s="521"/>
      <c r="DB43" s="371"/>
      <c r="DC43" s="359" t="str">
        <f>IF(ISERROR(DB43/DB39),"",DB43/DB39)</f>
        <v/>
      </c>
      <c r="DD43" s="358">
        <f t="shared" si="25"/>
        <v>0</v>
      </c>
      <c r="DE43" s="102"/>
      <c r="DF43" s="286">
        <f t="shared" si="44"/>
        <v>0</v>
      </c>
      <c r="DG43" s="296" t="str">
        <f>IF(ISERROR(DF43/DF39),"",DF43/DF39)</f>
        <v/>
      </c>
      <c r="DH43" s="231">
        <f t="shared" si="45"/>
        <v>0</v>
      </c>
      <c r="DI43" s="296" t="str">
        <f>IF(ISERROR(DH43/DH39),"",DH43/DH39)</f>
        <v/>
      </c>
      <c r="DJ43" s="231">
        <f t="shared" si="46"/>
        <v>0</v>
      </c>
      <c r="DK43" s="8"/>
    </row>
    <row r="44" spans="1:115" s="3" customFormat="1" ht="21.75" customHeight="1" outlineLevel="1" thickBot="1" x14ac:dyDescent="0.3">
      <c r="A44" s="80">
        <v>35</v>
      </c>
      <c r="B44" s="618"/>
      <c r="C44" s="761"/>
      <c r="D44" s="632"/>
      <c r="E44" s="663"/>
      <c r="F44" s="692" t="s">
        <v>47</v>
      </c>
      <c r="G44" s="687"/>
      <c r="H44" s="687"/>
      <c r="I44" s="688"/>
      <c r="J44" s="230">
        <f t="shared" si="29"/>
        <v>0</v>
      </c>
      <c r="K44" s="296" t="str">
        <f>IF(ISERROR(J44/J39),"",J44/J39)</f>
        <v/>
      </c>
      <c r="L44" s="231">
        <f t="shared" si="30"/>
        <v>0</v>
      </c>
      <c r="M44" s="296" t="str">
        <f>IF(ISERROR(L44/L39),"",L44/L39)</f>
        <v/>
      </c>
      <c r="N44" s="207">
        <f t="shared" si="31"/>
        <v>0</v>
      </c>
      <c r="O44" s="45" t="e">
        <f t="shared" si="32"/>
        <v>#VALUE!</v>
      </c>
      <c r="P44" s="47"/>
      <c r="Q44" s="512">
        <f>IF(ISERROR(R44*Q39),"",R44*Q39)</f>
        <v>0</v>
      </c>
      <c r="R44" s="522"/>
      <c r="S44" s="371"/>
      <c r="T44" s="359" t="str">
        <f>IF(ISERROR(S44/S39),"",S44/S39)</f>
        <v/>
      </c>
      <c r="U44" s="358">
        <f t="shared" si="33"/>
        <v>0</v>
      </c>
      <c r="V44" s="102"/>
      <c r="W44" s="512">
        <f>IF(ISERROR(X44*W39),"",X44*W39)</f>
        <v>0</v>
      </c>
      <c r="X44" s="522"/>
      <c r="Y44" s="371"/>
      <c r="Z44" s="359" t="str">
        <f>IF(ISERROR(Y44/Y39),"",Y44/Y39)</f>
        <v/>
      </c>
      <c r="AA44" s="358">
        <f t="shared" si="5"/>
        <v>0</v>
      </c>
      <c r="AB44" s="102"/>
      <c r="AC44" s="512">
        <f>IF(ISERROR(AD44*AC39),"",AD44*AC39)</f>
        <v>0</v>
      </c>
      <c r="AD44" s="522"/>
      <c r="AE44" s="371"/>
      <c r="AF44" s="359" t="str">
        <f>IF(ISERROR(AE44/AE39),"",AE44/AE39)</f>
        <v/>
      </c>
      <c r="AG44" s="358">
        <f t="shared" si="6"/>
        <v>0</v>
      </c>
      <c r="AH44" s="103" t="e">
        <f t="shared" si="34"/>
        <v>#VALUE!</v>
      </c>
      <c r="AI44" s="286">
        <f t="shared" si="35"/>
        <v>0</v>
      </c>
      <c r="AJ44" s="296" t="str">
        <f>IF(ISERROR(AI44/AI39),"",AI44/AI39)</f>
        <v/>
      </c>
      <c r="AK44" s="231">
        <f t="shared" si="36"/>
        <v>0</v>
      </c>
      <c r="AL44" s="296" t="str">
        <f>IF(ISERROR(AK44/AK39),"",AK44/AK39)</f>
        <v/>
      </c>
      <c r="AM44" s="231">
        <f t="shared" si="37"/>
        <v>0</v>
      </c>
      <c r="AN44" s="102"/>
      <c r="AO44" s="99"/>
      <c r="AP44" s="512">
        <f>IF(ISERROR(AQ44*AP39),"",AQ44*AP39)</f>
        <v>0</v>
      </c>
      <c r="AQ44" s="522"/>
      <c r="AR44" s="371"/>
      <c r="AS44" s="359" t="str">
        <f>IF(ISERROR(AR44/AR39),"",AR44/AR39)</f>
        <v/>
      </c>
      <c r="AT44" s="358">
        <f t="shared" si="11"/>
        <v>0</v>
      </c>
      <c r="AU44" s="102"/>
      <c r="AV44" s="512">
        <f>IF(ISERROR(AW44*AV39),"",AW44*AV39)</f>
        <v>0</v>
      </c>
      <c r="AW44" s="522"/>
      <c r="AX44" s="371"/>
      <c r="AY44" s="359" t="str">
        <f>IF(ISERROR(AX44/AX39),"",AX44/AX39)</f>
        <v/>
      </c>
      <c r="AZ44" s="358">
        <f t="shared" si="12"/>
        <v>0</v>
      </c>
      <c r="BA44" s="102"/>
      <c r="BB44" s="512">
        <f>IF(ISERROR(BC44*BB39),"",BC44*BB39)</f>
        <v>0</v>
      </c>
      <c r="BC44" s="522"/>
      <c r="BD44" s="371"/>
      <c r="BE44" s="359" t="str">
        <f>IF(ISERROR(BD44/BD39),"",BD44/BD39)</f>
        <v/>
      </c>
      <c r="BF44" s="358">
        <f t="shared" si="13"/>
        <v>0</v>
      </c>
      <c r="BG44" s="102"/>
      <c r="BH44" s="286">
        <f t="shared" si="38"/>
        <v>0</v>
      </c>
      <c r="BI44" s="296" t="str">
        <f>IF(ISERROR(BH44/BH39),"",BH44/BH39)</f>
        <v/>
      </c>
      <c r="BJ44" s="231">
        <f t="shared" si="39"/>
        <v>0</v>
      </c>
      <c r="BK44" s="296" t="str">
        <f>IF(ISERROR(BJ44/BJ39),"",BJ44/BJ39)</f>
        <v/>
      </c>
      <c r="BL44" s="231">
        <f t="shared" si="40"/>
        <v>0</v>
      </c>
      <c r="BM44" s="102"/>
      <c r="BN44" s="99"/>
      <c r="BO44" s="512">
        <f>IF(ISERROR(BP44*BO39),"",BP44*BO39)</f>
        <v>0</v>
      </c>
      <c r="BP44" s="522"/>
      <c r="BQ44" s="371"/>
      <c r="BR44" s="359" t="str">
        <f>IF(ISERROR(BQ44/BQ39),"",BQ44/BQ39)</f>
        <v/>
      </c>
      <c r="BS44" s="358">
        <f t="shared" si="17"/>
        <v>0</v>
      </c>
      <c r="BT44" s="102"/>
      <c r="BU44" s="512">
        <f>IF(ISERROR(BV44*BU39),"",BV44*BU39)</f>
        <v>0</v>
      </c>
      <c r="BV44" s="522"/>
      <c r="BW44" s="371"/>
      <c r="BX44" s="359" t="str">
        <f>IF(ISERROR(BW44/BW39),"",BW44/BW39)</f>
        <v/>
      </c>
      <c r="BY44" s="358">
        <f t="shared" si="18"/>
        <v>0</v>
      </c>
      <c r="BZ44" s="102"/>
      <c r="CA44" s="512">
        <f>IF(ISERROR(CB44*CA39),"",CB44*CA39)</f>
        <v>0</v>
      </c>
      <c r="CB44" s="522"/>
      <c r="CC44" s="371"/>
      <c r="CD44" s="359" t="str">
        <f>IF(ISERROR(CC44/CC39),"",CC44/CC39)</f>
        <v/>
      </c>
      <c r="CE44" s="358">
        <f t="shared" si="19"/>
        <v>0</v>
      </c>
      <c r="CF44" s="102"/>
      <c r="CG44" s="286">
        <f t="shared" si="41"/>
        <v>0</v>
      </c>
      <c r="CH44" s="296" t="str">
        <f>IF(ISERROR(CG44/CG39),"",CG44/CG39)</f>
        <v/>
      </c>
      <c r="CI44" s="231">
        <f t="shared" si="42"/>
        <v>0</v>
      </c>
      <c r="CJ44" s="296" t="str">
        <f>IF(ISERROR(CI44/CI39),"",CI44/CI39)</f>
        <v/>
      </c>
      <c r="CK44" s="231">
        <f t="shared" si="43"/>
        <v>0</v>
      </c>
      <c r="CL44" s="102"/>
      <c r="CM44" s="100"/>
      <c r="CN44" s="512">
        <f>IF(ISERROR(CO44*CN39),"",CO44*CN39)</f>
        <v>0</v>
      </c>
      <c r="CO44" s="522"/>
      <c r="CP44" s="371"/>
      <c r="CQ44" s="359" t="str">
        <f>IF(ISERROR(CP44/CP39),"",CP44/CP39)</f>
        <v/>
      </c>
      <c r="CR44" s="358">
        <f t="shared" si="23"/>
        <v>0</v>
      </c>
      <c r="CS44" s="102"/>
      <c r="CT44" s="512">
        <f>IF(ISERROR(CU44*CT39),"",CU44*CT39)</f>
        <v>0</v>
      </c>
      <c r="CU44" s="522"/>
      <c r="CV44" s="371"/>
      <c r="CW44" s="359" t="str">
        <f>IF(ISERROR(CV44/CV39),"",CV44/CV39)</f>
        <v/>
      </c>
      <c r="CX44" s="358">
        <f t="shared" si="24"/>
        <v>0</v>
      </c>
      <c r="CY44" s="102"/>
      <c r="CZ44" s="512">
        <f>IF(ISERROR(DA44*CZ39),"",DA44*CZ39)</f>
        <v>0</v>
      </c>
      <c r="DA44" s="522"/>
      <c r="DB44" s="371"/>
      <c r="DC44" s="359" t="str">
        <f>IF(ISERROR(DB44/DB39),"",DB44/DB39)</f>
        <v/>
      </c>
      <c r="DD44" s="358">
        <f t="shared" si="25"/>
        <v>0</v>
      </c>
      <c r="DE44" s="102"/>
      <c r="DF44" s="286">
        <f t="shared" si="44"/>
        <v>0</v>
      </c>
      <c r="DG44" s="296" t="str">
        <f>IF(ISERROR(DF44/DF39),"",DF44/DF39)</f>
        <v/>
      </c>
      <c r="DH44" s="231">
        <f t="shared" si="45"/>
        <v>0</v>
      </c>
      <c r="DI44" s="296" t="str">
        <f>IF(ISERROR(DH44/DH39),"",DH44/DH39)</f>
        <v/>
      </c>
      <c r="DJ44" s="231">
        <f t="shared" si="46"/>
        <v>0</v>
      </c>
      <c r="DK44" s="8"/>
    </row>
    <row r="45" spans="1:115" s="3" customFormat="1" ht="21.75" customHeight="1" outlineLevel="1" thickTop="1" thickBot="1" x14ac:dyDescent="0.3">
      <c r="A45" s="80">
        <v>36</v>
      </c>
      <c r="B45" s="618"/>
      <c r="C45" s="761"/>
      <c r="D45" s="632"/>
      <c r="E45" s="656"/>
      <c r="F45" s="693" t="s">
        <v>62</v>
      </c>
      <c r="G45" s="694"/>
      <c r="H45" s="694"/>
      <c r="I45" s="695"/>
      <c r="J45" s="244">
        <f t="shared" si="29"/>
        <v>0</v>
      </c>
      <c r="K45" s="281" t="str">
        <f>IF(ISERROR(J45/J39),"",J45/J39)</f>
        <v/>
      </c>
      <c r="L45" s="245">
        <f t="shared" si="30"/>
        <v>0</v>
      </c>
      <c r="M45" s="281" t="str">
        <f>IF(ISERROR(L45/L39),"",L45/L39)</f>
        <v/>
      </c>
      <c r="N45" s="214">
        <f t="shared" si="31"/>
        <v>0</v>
      </c>
      <c r="O45" s="53" t="e">
        <f t="shared" si="32"/>
        <v>#VALUE!</v>
      </c>
      <c r="P45" s="47"/>
      <c r="Q45" s="250">
        <f>SUM(Q41:Q44)</f>
        <v>0</v>
      </c>
      <c r="R45" s="523" t="str">
        <f>IF(ISERROR(Q45/Q39),"",Q45/Q39)</f>
        <v/>
      </c>
      <c r="S45" s="384">
        <f>SUM(S41:S44)</f>
        <v>0</v>
      </c>
      <c r="T45" s="385" t="str">
        <f>IF(ISERROR(S45/S39),"",S45/S39)</f>
        <v/>
      </c>
      <c r="U45" s="384">
        <f t="shared" si="33"/>
        <v>0</v>
      </c>
      <c r="V45" s="119"/>
      <c r="W45" s="250">
        <f>SUM(W41:W44)</f>
        <v>0</v>
      </c>
      <c r="X45" s="523" t="str">
        <f>IF(ISERROR(W45/W39),"",W45/W39)</f>
        <v/>
      </c>
      <c r="Y45" s="384">
        <f>SUM(Y41:Y44)</f>
        <v>0</v>
      </c>
      <c r="Z45" s="385" t="str">
        <f>IF(ISERROR(Y45/Y39),"",Y45/Y39)</f>
        <v/>
      </c>
      <c r="AA45" s="384">
        <f t="shared" si="5"/>
        <v>0</v>
      </c>
      <c r="AB45" s="119"/>
      <c r="AC45" s="250">
        <f>SUM(AC41:AC44)</f>
        <v>0</v>
      </c>
      <c r="AD45" s="523" t="str">
        <f>IF(ISERROR(AC45/AC39),"",AC45/AC39)</f>
        <v/>
      </c>
      <c r="AE45" s="384">
        <f>SUM(AE41:AE44)</f>
        <v>0</v>
      </c>
      <c r="AF45" s="385" t="str">
        <f>IF(ISERROR(AE45/AE39),"",AE45/AE39)</f>
        <v/>
      </c>
      <c r="AG45" s="384">
        <f t="shared" si="6"/>
        <v>0</v>
      </c>
      <c r="AH45" s="118" t="e">
        <f t="shared" si="34"/>
        <v>#VALUE!</v>
      </c>
      <c r="AI45" s="244">
        <f t="shared" si="35"/>
        <v>0</v>
      </c>
      <c r="AJ45" s="281" t="str">
        <f>IF(ISERROR(AI45/AI39),"",AI45/AI39)</f>
        <v/>
      </c>
      <c r="AK45" s="245">
        <f t="shared" si="36"/>
        <v>0</v>
      </c>
      <c r="AL45" s="281" t="str">
        <f>IF(ISERROR(AK45/AK39),"",AK45/AK39)</f>
        <v/>
      </c>
      <c r="AM45" s="245">
        <f t="shared" si="37"/>
        <v>0</v>
      </c>
      <c r="AN45" s="119"/>
      <c r="AO45" s="99"/>
      <c r="AP45" s="250">
        <f>SUM(AP41:AP44)</f>
        <v>0</v>
      </c>
      <c r="AQ45" s="523" t="str">
        <f>IF(ISERROR(AP45/AP39),"",AP45/AP39)</f>
        <v/>
      </c>
      <c r="AR45" s="384">
        <f>SUM(AR41:AR44)</f>
        <v>0</v>
      </c>
      <c r="AS45" s="385" t="str">
        <f>IF(ISERROR(AR45/AR39),"",AR45/AR39)</f>
        <v/>
      </c>
      <c r="AT45" s="384">
        <f t="shared" si="11"/>
        <v>0</v>
      </c>
      <c r="AU45" s="119"/>
      <c r="AV45" s="250">
        <f>SUM(AV41:AV44)</f>
        <v>0</v>
      </c>
      <c r="AW45" s="523" t="str">
        <f>IF(ISERROR(AV45/AV39),"",AV45/AV39)</f>
        <v/>
      </c>
      <c r="AX45" s="384">
        <f>SUM(AX41:AX44)</f>
        <v>0</v>
      </c>
      <c r="AY45" s="385" t="str">
        <f>IF(ISERROR(AX45/AX39),"",AX45/AX39)</f>
        <v/>
      </c>
      <c r="AZ45" s="384">
        <f t="shared" si="12"/>
        <v>0</v>
      </c>
      <c r="BA45" s="119"/>
      <c r="BB45" s="250">
        <f>SUM(BB41:BB44)</f>
        <v>0</v>
      </c>
      <c r="BC45" s="523" t="str">
        <f>IF(ISERROR(BB45/BB39),"",BB45/BB39)</f>
        <v/>
      </c>
      <c r="BD45" s="384">
        <f>SUM(BD41:BD44)</f>
        <v>0</v>
      </c>
      <c r="BE45" s="385" t="str">
        <f>IF(ISERROR(BD45/BD39),"",BD45/BD39)</f>
        <v/>
      </c>
      <c r="BF45" s="384">
        <f t="shared" si="13"/>
        <v>0</v>
      </c>
      <c r="BG45" s="119"/>
      <c r="BH45" s="244">
        <f t="shared" si="38"/>
        <v>0</v>
      </c>
      <c r="BI45" s="281" t="str">
        <f>IF(ISERROR(BH45/BH39),"",BH45/BH39)</f>
        <v/>
      </c>
      <c r="BJ45" s="245">
        <f t="shared" si="39"/>
        <v>0</v>
      </c>
      <c r="BK45" s="281" t="str">
        <f>IF(ISERROR(BJ45/BJ39),"",BJ45/BJ39)</f>
        <v/>
      </c>
      <c r="BL45" s="245">
        <f t="shared" si="40"/>
        <v>0</v>
      </c>
      <c r="BM45" s="119"/>
      <c r="BN45" s="99"/>
      <c r="BO45" s="250">
        <f>SUM(BO41:BO44)</f>
        <v>0</v>
      </c>
      <c r="BP45" s="523" t="str">
        <f>IF(ISERROR(BO45/BO39),"",BO45/BO39)</f>
        <v/>
      </c>
      <c r="BQ45" s="384">
        <f>SUM(BQ41:BQ44)</f>
        <v>0</v>
      </c>
      <c r="BR45" s="385" t="str">
        <f>IF(ISERROR(BQ45/BQ39),"",BQ45/BQ39)</f>
        <v/>
      </c>
      <c r="BS45" s="384">
        <f t="shared" si="17"/>
        <v>0</v>
      </c>
      <c r="BT45" s="119"/>
      <c r="BU45" s="250">
        <f>SUM(BU41:BU44)</f>
        <v>0</v>
      </c>
      <c r="BV45" s="523" t="str">
        <f>IF(ISERROR(BU45/BU39),"",BU45/BU39)</f>
        <v/>
      </c>
      <c r="BW45" s="384">
        <f>SUM(BW41:BW44)</f>
        <v>0</v>
      </c>
      <c r="BX45" s="385" t="str">
        <f>IF(ISERROR(BW45/BW39),"",BW45/BW39)</f>
        <v/>
      </c>
      <c r="BY45" s="384">
        <f t="shared" si="18"/>
        <v>0</v>
      </c>
      <c r="BZ45" s="119"/>
      <c r="CA45" s="250">
        <f>SUM(CA41:CA44)</f>
        <v>0</v>
      </c>
      <c r="CB45" s="523" t="str">
        <f>IF(ISERROR(CA45/CA39),"",CA45/CA39)</f>
        <v/>
      </c>
      <c r="CC45" s="384">
        <f>SUM(CC41:CC44)</f>
        <v>0</v>
      </c>
      <c r="CD45" s="385" t="str">
        <f>IF(ISERROR(CC45/CC39),"",CC45/CC39)</f>
        <v/>
      </c>
      <c r="CE45" s="384">
        <f t="shared" si="19"/>
        <v>0</v>
      </c>
      <c r="CF45" s="119"/>
      <c r="CG45" s="244">
        <f t="shared" si="41"/>
        <v>0</v>
      </c>
      <c r="CH45" s="281" t="str">
        <f>IF(ISERROR(CG45/CG39),"",CG45/CG39)</f>
        <v/>
      </c>
      <c r="CI45" s="245">
        <f t="shared" si="42"/>
        <v>0</v>
      </c>
      <c r="CJ45" s="281" t="str">
        <f>IF(ISERROR(CI45/CI39),"",CI45/CI39)</f>
        <v/>
      </c>
      <c r="CK45" s="245">
        <f t="shared" si="43"/>
        <v>0</v>
      </c>
      <c r="CL45" s="119"/>
      <c r="CM45" s="100"/>
      <c r="CN45" s="250">
        <f>SUM(CN41:CN44)</f>
        <v>0</v>
      </c>
      <c r="CO45" s="523" t="str">
        <f>IF(ISERROR(CN45/CN39),"",CN45/CN39)</f>
        <v/>
      </c>
      <c r="CP45" s="384">
        <f>SUM(CP41:CP44)</f>
        <v>0</v>
      </c>
      <c r="CQ45" s="385" t="str">
        <f>IF(ISERROR(CP45/CP39),"",CP45/CP39)</f>
        <v/>
      </c>
      <c r="CR45" s="384">
        <f t="shared" si="23"/>
        <v>0</v>
      </c>
      <c r="CS45" s="119"/>
      <c r="CT45" s="250">
        <f>SUM(CT41:CT44)</f>
        <v>0</v>
      </c>
      <c r="CU45" s="523" t="str">
        <f>IF(ISERROR(CT45/CT39),"",CT45/CT39)</f>
        <v/>
      </c>
      <c r="CV45" s="384">
        <f>SUM(CV41:CV44)</f>
        <v>0</v>
      </c>
      <c r="CW45" s="385" t="str">
        <f>IF(ISERROR(CV45/CV39),"",CV45/CV39)</f>
        <v/>
      </c>
      <c r="CX45" s="384">
        <f t="shared" si="24"/>
        <v>0</v>
      </c>
      <c r="CY45" s="119"/>
      <c r="CZ45" s="250">
        <f>SUM(CZ41:CZ44)</f>
        <v>0</v>
      </c>
      <c r="DA45" s="523" t="str">
        <f>IF(ISERROR(CZ45/CZ39),"",CZ45/CZ39)</f>
        <v/>
      </c>
      <c r="DB45" s="384">
        <f>SUM(DB41:DB44)</f>
        <v>0</v>
      </c>
      <c r="DC45" s="385" t="str">
        <f>IF(ISERROR(DB45/DB39),"",DB45/DB39)</f>
        <v/>
      </c>
      <c r="DD45" s="384">
        <f t="shared" si="25"/>
        <v>0</v>
      </c>
      <c r="DE45" s="119"/>
      <c r="DF45" s="244">
        <f t="shared" si="44"/>
        <v>0</v>
      </c>
      <c r="DG45" s="281" t="str">
        <f>IF(ISERROR(DF45/DF39),"",DF45/DF39)</f>
        <v/>
      </c>
      <c r="DH45" s="245">
        <f t="shared" si="45"/>
        <v>0</v>
      </c>
      <c r="DI45" s="281" t="str">
        <f>IF(ISERROR(DH45/DH39),"",DH45/DH39)</f>
        <v/>
      </c>
      <c r="DJ45" s="245">
        <f t="shared" si="46"/>
        <v>0</v>
      </c>
      <c r="DK45" s="15"/>
    </row>
    <row r="46" spans="1:115" s="3" customFormat="1" ht="21.75" customHeight="1" outlineLevel="1" thickTop="1" thickBot="1" x14ac:dyDescent="0.3">
      <c r="A46" s="80">
        <v>37</v>
      </c>
      <c r="B46" s="618"/>
      <c r="C46" s="761"/>
      <c r="D46" s="632"/>
      <c r="E46" s="663" t="s">
        <v>63</v>
      </c>
      <c r="F46" s="634" t="s">
        <v>64</v>
      </c>
      <c r="G46" s="635"/>
      <c r="H46" s="635"/>
      <c r="I46" s="636"/>
      <c r="J46" s="236">
        <f t="shared" si="29"/>
        <v>0</v>
      </c>
      <c r="K46" s="299"/>
      <c r="L46" s="237">
        <f t="shared" si="30"/>
        <v>0</v>
      </c>
      <c r="M46" s="299"/>
      <c r="N46" s="210">
        <f t="shared" si="31"/>
        <v>0</v>
      </c>
      <c r="O46" s="49">
        <f t="shared" si="32"/>
        <v>0</v>
      </c>
      <c r="P46" s="47"/>
      <c r="Q46" s="519"/>
      <c r="R46" s="511"/>
      <c r="S46" s="367"/>
      <c r="T46" s="368"/>
      <c r="U46" s="367">
        <f t="shared" si="33"/>
        <v>0</v>
      </c>
      <c r="V46" s="110"/>
      <c r="W46" s="519"/>
      <c r="X46" s="511"/>
      <c r="Y46" s="367"/>
      <c r="Z46" s="368"/>
      <c r="AA46" s="367">
        <f t="shared" si="5"/>
        <v>0</v>
      </c>
      <c r="AB46" s="110"/>
      <c r="AC46" s="519"/>
      <c r="AD46" s="511"/>
      <c r="AE46" s="367"/>
      <c r="AF46" s="368"/>
      <c r="AG46" s="367">
        <f t="shared" si="6"/>
        <v>0</v>
      </c>
      <c r="AH46" s="111">
        <f t="shared" si="34"/>
        <v>0</v>
      </c>
      <c r="AI46" s="289">
        <f t="shared" si="35"/>
        <v>0</v>
      </c>
      <c r="AJ46" s="299"/>
      <c r="AK46" s="237">
        <f t="shared" si="36"/>
        <v>0</v>
      </c>
      <c r="AL46" s="299"/>
      <c r="AM46" s="237">
        <f t="shared" si="37"/>
        <v>0</v>
      </c>
      <c r="AN46" s="110"/>
      <c r="AO46" s="99"/>
      <c r="AP46" s="519"/>
      <c r="AQ46" s="511"/>
      <c r="AR46" s="367"/>
      <c r="AS46" s="368"/>
      <c r="AT46" s="367">
        <f t="shared" si="11"/>
        <v>0</v>
      </c>
      <c r="AU46" s="110"/>
      <c r="AV46" s="519"/>
      <c r="AW46" s="511"/>
      <c r="AX46" s="367"/>
      <c r="AY46" s="368"/>
      <c r="AZ46" s="367">
        <f t="shared" si="12"/>
        <v>0</v>
      </c>
      <c r="BA46" s="110"/>
      <c r="BB46" s="519"/>
      <c r="BC46" s="511"/>
      <c r="BD46" s="367"/>
      <c r="BE46" s="368"/>
      <c r="BF46" s="367">
        <f t="shared" si="13"/>
        <v>0</v>
      </c>
      <c r="BG46" s="110"/>
      <c r="BH46" s="289">
        <f t="shared" si="38"/>
        <v>0</v>
      </c>
      <c r="BI46" s="299"/>
      <c r="BJ46" s="237">
        <f t="shared" si="39"/>
        <v>0</v>
      </c>
      <c r="BK46" s="299"/>
      <c r="BL46" s="237">
        <f t="shared" si="40"/>
        <v>0</v>
      </c>
      <c r="BM46" s="110"/>
      <c r="BN46" s="99"/>
      <c r="BO46" s="519"/>
      <c r="BP46" s="511"/>
      <c r="BQ46" s="367"/>
      <c r="BR46" s="368"/>
      <c r="BS46" s="367">
        <f t="shared" si="17"/>
        <v>0</v>
      </c>
      <c r="BT46" s="110"/>
      <c r="BU46" s="519"/>
      <c r="BV46" s="511"/>
      <c r="BW46" s="367"/>
      <c r="BX46" s="368"/>
      <c r="BY46" s="367">
        <f t="shared" si="18"/>
        <v>0</v>
      </c>
      <c r="BZ46" s="110"/>
      <c r="CA46" s="519"/>
      <c r="CB46" s="511"/>
      <c r="CC46" s="367"/>
      <c r="CD46" s="368"/>
      <c r="CE46" s="367">
        <f t="shared" si="19"/>
        <v>0</v>
      </c>
      <c r="CF46" s="110"/>
      <c r="CG46" s="289">
        <f t="shared" si="41"/>
        <v>0</v>
      </c>
      <c r="CH46" s="299"/>
      <c r="CI46" s="237">
        <f t="shared" si="42"/>
        <v>0</v>
      </c>
      <c r="CJ46" s="299"/>
      <c r="CK46" s="237">
        <f t="shared" si="43"/>
        <v>0</v>
      </c>
      <c r="CL46" s="110"/>
      <c r="CM46" s="100"/>
      <c r="CN46" s="519"/>
      <c r="CO46" s="511"/>
      <c r="CP46" s="367"/>
      <c r="CQ46" s="368"/>
      <c r="CR46" s="367">
        <f t="shared" si="23"/>
        <v>0</v>
      </c>
      <c r="CS46" s="110"/>
      <c r="CT46" s="519"/>
      <c r="CU46" s="511"/>
      <c r="CV46" s="367"/>
      <c r="CW46" s="368"/>
      <c r="CX46" s="367">
        <f t="shared" si="24"/>
        <v>0</v>
      </c>
      <c r="CY46" s="110"/>
      <c r="CZ46" s="519"/>
      <c r="DA46" s="511"/>
      <c r="DB46" s="367"/>
      <c r="DC46" s="368"/>
      <c r="DD46" s="367">
        <f t="shared" si="25"/>
        <v>0</v>
      </c>
      <c r="DE46" s="110"/>
      <c r="DF46" s="289">
        <f t="shared" si="44"/>
        <v>0</v>
      </c>
      <c r="DG46" s="299"/>
      <c r="DH46" s="237">
        <f t="shared" si="45"/>
        <v>0</v>
      </c>
      <c r="DI46" s="299"/>
      <c r="DJ46" s="237">
        <f t="shared" si="46"/>
        <v>0</v>
      </c>
      <c r="DK46" s="11"/>
    </row>
    <row r="47" spans="1:115" s="3" customFormat="1" ht="21.75" customHeight="1" outlineLevel="1" thickTop="1" thickBot="1" x14ac:dyDescent="0.3">
      <c r="A47" s="80">
        <v>38</v>
      </c>
      <c r="B47" s="618"/>
      <c r="C47" s="761"/>
      <c r="D47" s="632"/>
      <c r="E47" s="663"/>
      <c r="F47" s="576" t="s">
        <v>65</v>
      </c>
      <c r="G47" s="577"/>
      <c r="H47" s="577"/>
      <c r="I47" s="578"/>
      <c r="J47" s="236">
        <f t="shared" si="29"/>
        <v>0</v>
      </c>
      <c r="K47" s="299" t="str">
        <f>IF(ISERROR(J47/J46),"",J47/J46)</f>
        <v/>
      </c>
      <c r="L47" s="237">
        <f t="shared" si="30"/>
        <v>0</v>
      </c>
      <c r="M47" s="299" t="str">
        <f>IF(ISERROR(L47/L46),"",L47/L46)</f>
        <v/>
      </c>
      <c r="N47" s="210">
        <f t="shared" si="31"/>
        <v>0</v>
      </c>
      <c r="O47" s="49" t="e">
        <f t="shared" si="32"/>
        <v>#VALUE!</v>
      </c>
      <c r="P47" s="47"/>
      <c r="Q47" s="524">
        <f>IF(ISERROR(R47*Q46),"",R47*Q46)</f>
        <v>0</v>
      </c>
      <c r="R47" s="525"/>
      <c r="S47" s="369"/>
      <c r="T47" s="368" t="str">
        <f>IF(ISERROR(S47/S46),"",S47/S46)</f>
        <v/>
      </c>
      <c r="U47" s="367">
        <f t="shared" si="33"/>
        <v>0</v>
      </c>
      <c r="V47" s="110"/>
      <c r="W47" s="524">
        <f>IF(ISERROR(X47*W46),"",X47*W46)</f>
        <v>0</v>
      </c>
      <c r="X47" s="525"/>
      <c r="Y47" s="369"/>
      <c r="Z47" s="368" t="str">
        <f>IF(ISERROR(Y47/Y46),"",Y47/Y46)</f>
        <v/>
      </c>
      <c r="AA47" s="367">
        <f t="shared" si="5"/>
        <v>0</v>
      </c>
      <c r="AB47" s="110"/>
      <c r="AC47" s="524">
        <f>IF(ISERROR(AD47*AC46),"",AD47*AC46)</f>
        <v>0</v>
      </c>
      <c r="AD47" s="525"/>
      <c r="AE47" s="369"/>
      <c r="AF47" s="368" t="str">
        <f>IF(ISERROR(AE47/AE46),"",AE47/AE46)</f>
        <v/>
      </c>
      <c r="AG47" s="367">
        <f t="shared" si="6"/>
        <v>0</v>
      </c>
      <c r="AH47" s="111" t="e">
        <f t="shared" si="34"/>
        <v>#VALUE!</v>
      </c>
      <c r="AI47" s="289">
        <f t="shared" si="35"/>
        <v>0</v>
      </c>
      <c r="AJ47" s="299" t="str">
        <f>IF(ISERROR(AI47/AI46),"",AI47/AI46)</f>
        <v/>
      </c>
      <c r="AK47" s="237">
        <f t="shared" si="36"/>
        <v>0</v>
      </c>
      <c r="AL47" s="299" t="str">
        <f>IF(ISERROR(AK47/AK46),"",AK47/AK46)</f>
        <v/>
      </c>
      <c r="AM47" s="237">
        <f t="shared" si="37"/>
        <v>0</v>
      </c>
      <c r="AN47" s="110"/>
      <c r="AO47" s="99"/>
      <c r="AP47" s="524">
        <f>IF(ISERROR(AQ47*AP46),"",AQ47*AP46)</f>
        <v>0</v>
      </c>
      <c r="AQ47" s="525"/>
      <c r="AR47" s="369"/>
      <c r="AS47" s="368" t="str">
        <f>IF(ISERROR(AR47/AR46),"",AR47/AR46)</f>
        <v/>
      </c>
      <c r="AT47" s="367">
        <f t="shared" si="11"/>
        <v>0</v>
      </c>
      <c r="AU47" s="110"/>
      <c r="AV47" s="524">
        <f>IF(ISERROR(AW47*AV46),"",AW47*AV46)</f>
        <v>0</v>
      </c>
      <c r="AW47" s="525"/>
      <c r="AX47" s="369"/>
      <c r="AY47" s="368" t="str">
        <f>IF(ISERROR(AX47/AX46),"",AX47/AX46)</f>
        <v/>
      </c>
      <c r="AZ47" s="367">
        <f t="shared" si="12"/>
        <v>0</v>
      </c>
      <c r="BA47" s="110"/>
      <c r="BB47" s="524">
        <f>IF(ISERROR(BC47*BB46),"",BC47*BB46)</f>
        <v>0</v>
      </c>
      <c r="BC47" s="525"/>
      <c r="BD47" s="369"/>
      <c r="BE47" s="368" t="str">
        <f>IF(ISERROR(BD47/BD46),"",BD47/BD46)</f>
        <v/>
      </c>
      <c r="BF47" s="367">
        <f t="shared" si="13"/>
        <v>0</v>
      </c>
      <c r="BG47" s="110"/>
      <c r="BH47" s="289">
        <f t="shared" si="38"/>
        <v>0</v>
      </c>
      <c r="BI47" s="299" t="str">
        <f>IF(ISERROR(BH47/BH46),"",BH47/BH46)</f>
        <v/>
      </c>
      <c r="BJ47" s="237">
        <f t="shared" si="39"/>
        <v>0</v>
      </c>
      <c r="BK47" s="299" t="str">
        <f>IF(ISERROR(BJ47/BJ46),"",BJ47/BJ46)</f>
        <v/>
      </c>
      <c r="BL47" s="237">
        <f t="shared" si="40"/>
        <v>0</v>
      </c>
      <c r="BM47" s="110"/>
      <c r="BN47" s="99"/>
      <c r="BO47" s="524">
        <f>IF(ISERROR(BP47*BO46),"",BP47*BO46)</f>
        <v>0</v>
      </c>
      <c r="BP47" s="525"/>
      <c r="BQ47" s="369"/>
      <c r="BR47" s="368" t="str">
        <f>IF(ISERROR(BQ47/BQ46),"",BQ47/BQ46)</f>
        <v/>
      </c>
      <c r="BS47" s="367">
        <f t="shared" si="17"/>
        <v>0</v>
      </c>
      <c r="BT47" s="110"/>
      <c r="BU47" s="524">
        <f>IF(ISERROR(BV47*BU46),"",BV47*BU46)</f>
        <v>0</v>
      </c>
      <c r="BV47" s="525"/>
      <c r="BW47" s="369"/>
      <c r="BX47" s="368" t="str">
        <f>IF(ISERROR(BW47/BW46),"",BW47/BW46)</f>
        <v/>
      </c>
      <c r="BY47" s="367">
        <f t="shared" si="18"/>
        <v>0</v>
      </c>
      <c r="BZ47" s="110"/>
      <c r="CA47" s="524">
        <f>IF(ISERROR(CB47*CA46),"",CB47*CA46)</f>
        <v>0</v>
      </c>
      <c r="CB47" s="525"/>
      <c r="CC47" s="369"/>
      <c r="CD47" s="368" t="str">
        <f>IF(ISERROR(CC47/CC46),"",CC47/CC46)</f>
        <v/>
      </c>
      <c r="CE47" s="367">
        <f t="shared" si="19"/>
        <v>0</v>
      </c>
      <c r="CF47" s="110"/>
      <c r="CG47" s="289">
        <f t="shared" si="41"/>
        <v>0</v>
      </c>
      <c r="CH47" s="299" t="str">
        <f>IF(ISERROR(CG47/CG46),"",CG47/CG46)</f>
        <v/>
      </c>
      <c r="CI47" s="237">
        <f t="shared" si="42"/>
        <v>0</v>
      </c>
      <c r="CJ47" s="299" t="str">
        <f>IF(ISERROR(CI47/CI46),"",CI47/CI46)</f>
        <v/>
      </c>
      <c r="CK47" s="237">
        <f t="shared" si="43"/>
        <v>0</v>
      </c>
      <c r="CL47" s="110"/>
      <c r="CM47" s="100"/>
      <c r="CN47" s="524">
        <f>IF(ISERROR(CO47*CN46),"",CO47*CN46)</f>
        <v>0</v>
      </c>
      <c r="CO47" s="525"/>
      <c r="CP47" s="369"/>
      <c r="CQ47" s="368" t="str">
        <f>IF(ISERROR(CP47/CP46),"",CP47/CP46)</f>
        <v/>
      </c>
      <c r="CR47" s="367">
        <f t="shared" si="23"/>
        <v>0</v>
      </c>
      <c r="CS47" s="110"/>
      <c r="CT47" s="524">
        <f>IF(ISERROR(CU47*CT46),"",CU47*CT46)</f>
        <v>0</v>
      </c>
      <c r="CU47" s="525"/>
      <c r="CV47" s="369"/>
      <c r="CW47" s="368" t="str">
        <f>IF(ISERROR(CV47/CV46),"",CV47/CV46)</f>
        <v/>
      </c>
      <c r="CX47" s="367">
        <f t="shared" si="24"/>
        <v>0</v>
      </c>
      <c r="CY47" s="110"/>
      <c r="CZ47" s="524">
        <f>IF(ISERROR(DA47*CZ46),"",DA47*CZ46)</f>
        <v>0</v>
      </c>
      <c r="DA47" s="525"/>
      <c r="DB47" s="369"/>
      <c r="DC47" s="368" t="str">
        <f>IF(ISERROR(DB47/DB46),"",DB47/DB46)</f>
        <v/>
      </c>
      <c r="DD47" s="367">
        <f t="shared" si="25"/>
        <v>0</v>
      </c>
      <c r="DE47" s="110"/>
      <c r="DF47" s="289">
        <f t="shared" si="44"/>
        <v>0</v>
      </c>
      <c r="DG47" s="299" t="str">
        <f>IF(ISERROR(DF47/DF46),"",DF47/DF46)</f>
        <v/>
      </c>
      <c r="DH47" s="237">
        <f t="shared" si="45"/>
        <v>0</v>
      </c>
      <c r="DI47" s="299" t="str">
        <f>IF(ISERROR(DH47/DH46),"",DH47/DH46)</f>
        <v/>
      </c>
      <c r="DJ47" s="237">
        <f t="shared" si="46"/>
        <v>0</v>
      </c>
      <c r="DK47" s="11"/>
    </row>
    <row r="48" spans="1:115" s="3" customFormat="1" ht="21.75" customHeight="1" outlineLevel="1" thickTop="1" thickBot="1" x14ac:dyDescent="0.3">
      <c r="A48" s="80">
        <v>39</v>
      </c>
      <c r="B48" s="618"/>
      <c r="C48" s="761"/>
      <c r="D48" s="632"/>
      <c r="E48" s="663"/>
      <c r="F48" s="634" t="s">
        <v>66</v>
      </c>
      <c r="G48" s="635"/>
      <c r="H48" s="635"/>
      <c r="I48" s="636"/>
      <c r="J48" s="236">
        <f t="shared" si="29"/>
        <v>0</v>
      </c>
      <c r="K48" s="299"/>
      <c r="L48" s="237">
        <f t="shared" si="30"/>
        <v>0</v>
      </c>
      <c r="M48" s="299"/>
      <c r="N48" s="210">
        <f t="shared" si="31"/>
        <v>0</v>
      </c>
      <c r="O48" s="49">
        <f t="shared" si="32"/>
        <v>0</v>
      </c>
      <c r="P48" s="47"/>
      <c r="Q48" s="519"/>
      <c r="R48" s="511"/>
      <c r="S48" s="369"/>
      <c r="T48" s="368"/>
      <c r="U48" s="367">
        <f t="shared" si="33"/>
        <v>0</v>
      </c>
      <c r="V48" s="110"/>
      <c r="W48" s="519"/>
      <c r="X48" s="511"/>
      <c r="Y48" s="367"/>
      <c r="Z48" s="368"/>
      <c r="AA48" s="367">
        <f t="shared" si="5"/>
        <v>0</v>
      </c>
      <c r="AB48" s="110"/>
      <c r="AC48" s="519"/>
      <c r="AD48" s="511"/>
      <c r="AE48" s="367"/>
      <c r="AF48" s="368"/>
      <c r="AG48" s="367">
        <f t="shared" si="6"/>
        <v>0</v>
      </c>
      <c r="AH48" s="111">
        <f t="shared" si="34"/>
        <v>0</v>
      </c>
      <c r="AI48" s="289">
        <f t="shared" si="35"/>
        <v>0</v>
      </c>
      <c r="AJ48" s="299"/>
      <c r="AK48" s="237">
        <f t="shared" si="36"/>
        <v>0</v>
      </c>
      <c r="AL48" s="299"/>
      <c r="AM48" s="237">
        <f t="shared" si="37"/>
        <v>0</v>
      </c>
      <c r="AN48" s="110"/>
      <c r="AO48" s="99"/>
      <c r="AP48" s="519"/>
      <c r="AQ48" s="511"/>
      <c r="AR48" s="367"/>
      <c r="AS48" s="368"/>
      <c r="AT48" s="367">
        <f t="shared" si="11"/>
        <v>0</v>
      </c>
      <c r="AU48" s="110"/>
      <c r="AV48" s="519"/>
      <c r="AW48" s="511"/>
      <c r="AX48" s="367"/>
      <c r="AY48" s="368"/>
      <c r="AZ48" s="367">
        <f t="shared" si="12"/>
        <v>0</v>
      </c>
      <c r="BA48" s="110"/>
      <c r="BB48" s="519"/>
      <c r="BC48" s="511"/>
      <c r="BD48" s="367"/>
      <c r="BE48" s="368"/>
      <c r="BF48" s="367">
        <f t="shared" si="13"/>
        <v>0</v>
      </c>
      <c r="BG48" s="110"/>
      <c r="BH48" s="289">
        <f t="shared" si="38"/>
        <v>0</v>
      </c>
      <c r="BI48" s="299"/>
      <c r="BJ48" s="237">
        <f t="shared" si="39"/>
        <v>0</v>
      </c>
      <c r="BK48" s="299"/>
      <c r="BL48" s="237">
        <f t="shared" si="40"/>
        <v>0</v>
      </c>
      <c r="BM48" s="110"/>
      <c r="BN48" s="99"/>
      <c r="BO48" s="519"/>
      <c r="BP48" s="511"/>
      <c r="BQ48" s="367"/>
      <c r="BR48" s="368"/>
      <c r="BS48" s="367">
        <f t="shared" si="17"/>
        <v>0</v>
      </c>
      <c r="BT48" s="110"/>
      <c r="BU48" s="519"/>
      <c r="BV48" s="511"/>
      <c r="BW48" s="367"/>
      <c r="BX48" s="368"/>
      <c r="BY48" s="367">
        <f t="shared" si="18"/>
        <v>0</v>
      </c>
      <c r="BZ48" s="110"/>
      <c r="CA48" s="519"/>
      <c r="CB48" s="511"/>
      <c r="CC48" s="367"/>
      <c r="CD48" s="368"/>
      <c r="CE48" s="367">
        <f t="shared" si="19"/>
        <v>0</v>
      </c>
      <c r="CF48" s="110"/>
      <c r="CG48" s="289">
        <f t="shared" si="41"/>
        <v>0</v>
      </c>
      <c r="CH48" s="299"/>
      <c r="CI48" s="237">
        <f t="shared" si="42"/>
        <v>0</v>
      </c>
      <c r="CJ48" s="299"/>
      <c r="CK48" s="237">
        <f t="shared" si="43"/>
        <v>0</v>
      </c>
      <c r="CL48" s="110"/>
      <c r="CM48" s="100"/>
      <c r="CN48" s="519"/>
      <c r="CO48" s="511"/>
      <c r="CP48" s="367"/>
      <c r="CQ48" s="368"/>
      <c r="CR48" s="367">
        <f t="shared" si="23"/>
        <v>0</v>
      </c>
      <c r="CS48" s="110"/>
      <c r="CT48" s="519"/>
      <c r="CU48" s="511"/>
      <c r="CV48" s="367"/>
      <c r="CW48" s="368"/>
      <c r="CX48" s="367">
        <f t="shared" si="24"/>
        <v>0</v>
      </c>
      <c r="CY48" s="110"/>
      <c r="CZ48" s="519"/>
      <c r="DA48" s="511"/>
      <c r="DB48" s="367"/>
      <c r="DC48" s="368"/>
      <c r="DD48" s="367">
        <f t="shared" si="25"/>
        <v>0</v>
      </c>
      <c r="DE48" s="110"/>
      <c r="DF48" s="289">
        <f t="shared" si="44"/>
        <v>0</v>
      </c>
      <c r="DG48" s="299"/>
      <c r="DH48" s="237">
        <f t="shared" si="45"/>
        <v>0</v>
      </c>
      <c r="DI48" s="299"/>
      <c r="DJ48" s="237">
        <f t="shared" si="46"/>
        <v>0</v>
      </c>
      <c r="DK48" s="11"/>
    </row>
    <row r="49" spans="1:115" s="3" customFormat="1" ht="21.75" customHeight="1" outlineLevel="1" thickTop="1" thickBot="1" x14ac:dyDescent="0.3">
      <c r="A49" s="80">
        <v>40</v>
      </c>
      <c r="B49" s="618"/>
      <c r="C49" s="761"/>
      <c r="D49" s="632"/>
      <c r="E49" s="663"/>
      <c r="F49" s="634" t="s">
        <v>67</v>
      </c>
      <c r="G49" s="635"/>
      <c r="H49" s="635"/>
      <c r="I49" s="636"/>
      <c r="J49" s="236">
        <f t="shared" si="29"/>
        <v>0</v>
      </c>
      <c r="K49" s="299" t="str">
        <f>IF(ISERROR(J49/J48),"",J49/J48)</f>
        <v/>
      </c>
      <c r="L49" s="237">
        <f t="shared" si="30"/>
        <v>0</v>
      </c>
      <c r="M49" s="299" t="str">
        <f>IF(ISERROR(L49/L48),"",L49/L48)</f>
        <v/>
      </c>
      <c r="N49" s="210">
        <f t="shared" si="31"/>
        <v>0</v>
      </c>
      <c r="O49" s="49" t="e">
        <f t="shared" si="32"/>
        <v>#VALUE!</v>
      </c>
      <c r="P49" s="47"/>
      <c r="Q49" s="524">
        <f>IF(ISERROR(R49*Q48),"",R49*Q48)</f>
        <v>0</v>
      </c>
      <c r="R49" s="525"/>
      <c r="S49" s="369"/>
      <c r="T49" s="368" t="str">
        <f>IF(ISERROR(S49/S48),"",S49/S48)</f>
        <v/>
      </c>
      <c r="U49" s="367">
        <f t="shared" si="33"/>
        <v>0</v>
      </c>
      <c r="V49" s="110"/>
      <c r="W49" s="524">
        <f>IF(ISERROR(X49*W48),"",X49*W48)</f>
        <v>0</v>
      </c>
      <c r="X49" s="525"/>
      <c r="Y49" s="369"/>
      <c r="Z49" s="368" t="str">
        <f>IF(ISERROR(Y49/Y48),"",Y49/Y48)</f>
        <v/>
      </c>
      <c r="AA49" s="367">
        <f t="shared" si="5"/>
        <v>0</v>
      </c>
      <c r="AB49" s="110"/>
      <c r="AC49" s="524">
        <f>IF(ISERROR(AD49*AC48),"",AD49*AC48)</f>
        <v>0</v>
      </c>
      <c r="AD49" s="525"/>
      <c r="AE49" s="369"/>
      <c r="AF49" s="368" t="str">
        <f>IF(ISERROR(AE49/AE48),"",AE49/AE48)</f>
        <v/>
      </c>
      <c r="AG49" s="367">
        <f t="shared" si="6"/>
        <v>0</v>
      </c>
      <c r="AH49" s="111" t="e">
        <f t="shared" si="34"/>
        <v>#VALUE!</v>
      </c>
      <c r="AI49" s="289">
        <f t="shared" si="35"/>
        <v>0</v>
      </c>
      <c r="AJ49" s="299" t="str">
        <f>IF(ISERROR(AI49/AI48),"",AI49/AI48)</f>
        <v/>
      </c>
      <c r="AK49" s="237">
        <f t="shared" si="36"/>
        <v>0</v>
      </c>
      <c r="AL49" s="299" t="str">
        <f>IF(ISERROR(AK49/AK48),"",AK49/AK48)</f>
        <v/>
      </c>
      <c r="AM49" s="237">
        <f t="shared" si="37"/>
        <v>0</v>
      </c>
      <c r="AN49" s="110"/>
      <c r="AO49" s="99"/>
      <c r="AP49" s="524">
        <f>IF(ISERROR(AQ49*AP48),"",AQ49*AP48)</f>
        <v>0</v>
      </c>
      <c r="AQ49" s="525"/>
      <c r="AR49" s="369"/>
      <c r="AS49" s="368" t="str">
        <f>IF(ISERROR(AR49/AR48),"",AR49/AR48)</f>
        <v/>
      </c>
      <c r="AT49" s="367">
        <f t="shared" si="11"/>
        <v>0</v>
      </c>
      <c r="AU49" s="110"/>
      <c r="AV49" s="524">
        <f>IF(ISERROR(AW49*AV48),"",AW49*AV48)</f>
        <v>0</v>
      </c>
      <c r="AW49" s="525"/>
      <c r="AX49" s="369"/>
      <c r="AY49" s="368" t="str">
        <f>IF(ISERROR(AX49/AX48),"",AX49/AX48)</f>
        <v/>
      </c>
      <c r="AZ49" s="367">
        <f t="shared" si="12"/>
        <v>0</v>
      </c>
      <c r="BA49" s="110"/>
      <c r="BB49" s="524">
        <f>IF(ISERROR(BC49*BB48),"",BC49*BB48)</f>
        <v>0</v>
      </c>
      <c r="BC49" s="525"/>
      <c r="BD49" s="369"/>
      <c r="BE49" s="368" t="str">
        <f>IF(ISERROR(BD49/BD48),"",BD49/BD48)</f>
        <v/>
      </c>
      <c r="BF49" s="367">
        <f t="shared" si="13"/>
        <v>0</v>
      </c>
      <c r="BG49" s="110"/>
      <c r="BH49" s="289">
        <f t="shared" si="38"/>
        <v>0</v>
      </c>
      <c r="BI49" s="299" t="str">
        <f>IF(ISERROR(BH49/BH48),"",BH49/BH48)</f>
        <v/>
      </c>
      <c r="BJ49" s="237">
        <f t="shared" si="39"/>
        <v>0</v>
      </c>
      <c r="BK49" s="299" t="str">
        <f>IF(ISERROR(BJ49/BJ48),"",BJ49/BJ48)</f>
        <v/>
      </c>
      <c r="BL49" s="237">
        <f t="shared" si="40"/>
        <v>0</v>
      </c>
      <c r="BM49" s="110"/>
      <c r="BN49" s="99"/>
      <c r="BO49" s="524">
        <f>IF(ISERROR(BP49*BO48),"",BP49*BO48)</f>
        <v>0</v>
      </c>
      <c r="BP49" s="525"/>
      <c r="BQ49" s="369"/>
      <c r="BR49" s="368" t="str">
        <f>IF(ISERROR(BQ49/BQ48),"",BQ49/BQ48)</f>
        <v/>
      </c>
      <c r="BS49" s="367">
        <f t="shared" si="17"/>
        <v>0</v>
      </c>
      <c r="BT49" s="110"/>
      <c r="BU49" s="524">
        <f>IF(ISERROR(BV49*BU48),"",BV49*BU48)</f>
        <v>0</v>
      </c>
      <c r="BV49" s="525"/>
      <c r="BW49" s="369"/>
      <c r="BX49" s="368" t="str">
        <f>IF(ISERROR(BW49/BW48),"",BW49/BW48)</f>
        <v/>
      </c>
      <c r="BY49" s="367">
        <f t="shared" si="18"/>
        <v>0</v>
      </c>
      <c r="BZ49" s="110"/>
      <c r="CA49" s="524">
        <f>IF(ISERROR(CB49*CA48),"",CB49*CA48)</f>
        <v>0</v>
      </c>
      <c r="CB49" s="525"/>
      <c r="CC49" s="369"/>
      <c r="CD49" s="368" t="str">
        <f>IF(ISERROR(CC49/CC48),"",CC49/CC48)</f>
        <v/>
      </c>
      <c r="CE49" s="367">
        <f t="shared" si="19"/>
        <v>0</v>
      </c>
      <c r="CF49" s="110"/>
      <c r="CG49" s="289">
        <f t="shared" si="41"/>
        <v>0</v>
      </c>
      <c r="CH49" s="299" t="str">
        <f>IF(ISERROR(CG49/CG48),"",CG49/CG48)</f>
        <v/>
      </c>
      <c r="CI49" s="237">
        <f t="shared" si="42"/>
        <v>0</v>
      </c>
      <c r="CJ49" s="299" t="str">
        <f>IF(ISERROR(CI49/CI48),"",CI49/CI48)</f>
        <v/>
      </c>
      <c r="CK49" s="237">
        <f t="shared" si="43"/>
        <v>0</v>
      </c>
      <c r="CL49" s="110"/>
      <c r="CM49" s="100"/>
      <c r="CN49" s="524">
        <f>IF(ISERROR(CO49*CN48),"",CO49*CN48)</f>
        <v>0</v>
      </c>
      <c r="CO49" s="525"/>
      <c r="CP49" s="369"/>
      <c r="CQ49" s="368" t="str">
        <f>IF(ISERROR(CP49/CP48),"",CP49/CP48)</f>
        <v/>
      </c>
      <c r="CR49" s="367">
        <f t="shared" si="23"/>
        <v>0</v>
      </c>
      <c r="CS49" s="110"/>
      <c r="CT49" s="524">
        <f>IF(ISERROR(CU49*CT48),"",CU49*CT48)</f>
        <v>0</v>
      </c>
      <c r="CU49" s="525"/>
      <c r="CV49" s="369"/>
      <c r="CW49" s="368" t="str">
        <f>IF(ISERROR(CV49/CV48),"",CV49/CV48)</f>
        <v/>
      </c>
      <c r="CX49" s="367">
        <f t="shared" si="24"/>
        <v>0</v>
      </c>
      <c r="CY49" s="110"/>
      <c r="CZ49" s="524">
        <f>IF(ISERROR(DA49*CZ48),"",DA49*CZ48)</f>
        <v>0</v>
      </c>
      <c r="DA49" s="525"/>
      <c r="DB49" s="369"/>
      <c r="DC49" s="368" t="str">
        <f>IF(ISERROR(DB49/DB48),"",DB49/DB48)</f>
        <v/>
      </c>
      <c r="DD49" s="367">
        <f t="shared" si="25"/>
        <v>0</v>
      </c>
      <c r="DE49" s="110"/>
      <c r="DF49" s="289">
        <f t="shared" si="44"/>
        <v>0</v>
      </c>
      <c r="DG49" s="299" t="str">
        <f>IF(ISERROR(DF49/DF48),"",DF49/DF48)</f>
        <v/>
      </c>
      <c r="DH49" s="237">
        <f t="shared" si="45"/>
        <v>0</v>
      </c>
      <c r="DI49" s="299" t="str">
        <f>IF(ISERROR(DH49/DH48),"",DH49/DH48)</f>
        <v/>
      </c>
      <c r="DJ49" s="237">
        <f t="shared" si="46"/>
        <v>0</v>
      </c>
      <c r="DK49" s="11"/>
    </row>
    <row r="50" spans="1:115" s="3" customFormat="1" ht="21.75" customHeight="1" outlineLevel="1" thickTop="1" thickBot="1" x14ac:dyDescent="0.3">
      <c r="A50" s="80">
        <v>41</v>
      </c>
      <c r="B50" s="618"/>
      <c r="C50" s="761"/>
      <c r="D50" s="632"/>
      <c r="E50" s="663"/>
      <c r="F50" s="640" t="s">
        <v>68</v>
      </c>
      <c r="G50" s="641"/>
      <c r="H50" s="641"/>
      <c r="I50" s="642"/>
      <c r="J50" s="236">
        <f t="shared" si="29"/>
        <v>0</v>
      </c>
      <c r="K50" s="299"/>
      <c r="L50" s="237">
        <f t="shared" si="30"/>
        <v>0</v>
      </c>
      <c r="M50" s="299"/>
      <c r="N50" s="210">
        <f t="shared" si="31"/>
        <v>0</v>
      </c>
      <c r="O50" s="49">
        <f t="shared" si="32"/>
        <v>0</v>
      </c>
      <c r="P50" s="47"/>
      <c r="Q50" s="519"/>
      <c r="R50" s="511"/>
      <c r="S50" s="369"/>
      <c r="T50" s="368"/>
      <c r="U50" s="367">
        <f t="shared" si="33"/>
        <v>0</v>
      </c>
      <c r="V50" s="110"/>
      <c r="W50" s="519"/>
      <c r="X50" s="511"/>
      <c r="Y50" s="367"/>
      <c r="Z50" s="368"/>
      <c r="AA50" s="367">
        <f t="shared" si="5"/>
        <v>0</v>
      </c>
      <c r="AB50" s="110"/>
      <c r="AC50" s="519"/>
      <c r="AD50" s="511"/>
      <c r="AE50" s="367"/>
      <c r="AF50" s="368"/>
      <c r="AG50" s="367">
        <f t="shared" si="6"/>
        <v>0</v>
      </c>
      <c r="AH50" s="111">
        <f t="shared" si="34"/>
        <v>0</v>
      </c>
      <c r="AI50" s="289">
        <f t="shared" si="35"/>
        <v>0</v>
      </c>
      <c r="AJ50" s="299"/>
      <c r="AK50" s="237">
        <f t="shared" si="36"/>
        <v>0</v>
      </c>
      <c r="AL50" s="299"/>
      <c r="AM50" s="237">
        <f t="shared" si="37"/>
        <v>0</v>
      </c>
      <c r="AN50" s="110"/>
      <c r="AO50" s="99"/>
      <c r="AP50" s="519"/>
      <c r="AQ50" s="511"/>
      <c r="AR50" s="367"/>
      <c r="AS50" s="368"/>
      <c r="AT50" s="367">
        <f t="shared" si="11"/>
        <v>0</v>
      </c>
      <c r="AU50" s="110"/>
      <c r="AV50" s="519"/>
      <c r="AW50" s="511"/>
      <c r="AX50" s="367"/>
      <c r="AY50" s="368"/>
      <c r="AZ50" s="367">
        <f t="shared" si="12"/>
        <v>0</v>
      </c>
      <c r="BA50" s="110"/>
      <c r="BB50" s="519"/>
      <c r="BC50" s="511"/>
      <c r="BD50" s="367"/>
      <c r="BE50" s="368"/>
      <c r="BF50" s="367">
        <f t="shared" si="13"/>
        <v>0</v>
      </c>
      <c r="BG50" s="110"/>
      <c r="BH50" s="289">
        <f t="shared" si="38"/>
        <v>0</v>
      </c>
      <c r="BI50" s="299"/>
      <c r="BJ50" s="237">
        <f t="shared" si="39"/>
        <v>0</v>
      </c>
      <c r="BK50" s="299"/>
      <c r="BL50" s="237">
        <f t="shared" si="40"/>
        <v>0</v>
      </c>
      <c r="BM50" s="110"/>
      <c r="BN50" s="99"/>
      <c r="BO50" s="519"/>
      <c r="BP50" s="511"/>
      <c r="BQ50" s="367"/>
      <c r="BR50" s="368"/>
      <c r="BS50" s="367">
        <f t="shared" si="17"/>
        <v>0</v>
      </c>
      <c r="BT50" s="110"/>
      <c r="BU50" s="519"/>
      <c r="BV50" s="511"/>
      <c r="BW50" s="367"/>
      <c r="BX50" s="368"/>
      <c r="BY50" s="367">
        <f t="shared" si="18"/>
        <v>0</v>
      </c>
      <c r="BZ50" s="110"/>
      <c r="CA50" s="519"/>
      <c r="CB50" s="511"/>
      <c r="CC50" s="367"/>
      <c r="CD50" s="368"/>
      <c r="CE50" s="367">
        <f t="shared" si="19"/>
        <v>0</v>
      </c>
      <c r="CF50" s="110"/>
      <c r="CG50" s="289">
        <f t="shared" si="41"/>
        <v>0</v>
      </c>
      <c r="CH50" s="299"/>
      <c r="CI50" s="237">
        <f t="shared" si="42"/>
        <v>0</v>
      </c>
      <c r="CJ50" s="299"/>
      <c r="CK50" s="237">
        <f t="shared" si="43"/>
        <v>0</v>
      </c>
      <c r="CL50" s="110"/>
      <c r="CM50" s="100"/>
      <c r="CN50" s="519"/>
      <c r="CO50" s="511"/>
      <c r="CP50" s="367"/>
      <c r="CQ50" s="368"/>
      <c r="CR50" s="367">
        <f t="shared" si="23"/>
        <v>0</v>
      </c>
      <c r="CS50" s="110"/>
      <c r="CT50" s="519"/>
      <c r="CU50" s="511"/>
      <c r="CV50" s="367"/>
      <c r="CW50" s="368"/>
      <c r="CX50" s="367">
        <f t="shared" si="24"/>
        <v>0</v>
      </c>
      <c r="CY50" s="110"/>
      <c r="CZ50" s="519"/>
      <c r="DA50" s="511"/>
      <c r="DB50" s="367"/>
      <c r="DC50" s="368"/>
      <c r="DD50" s="367">
        <f t="shared" si="25"/>
        <v>0</v>
      </c>
      <c r="DE50" s="110"/>
      <c r="DF50" s="289">
        <f t="shared" si="44"/>
        <v>0</v>
      </c>
      <c r="DG50" s="299"/>
      <c r="DH50" s="237">
        <f t="shared" si="45"/>
        <v>0</v>
      </c>
      <c r="DI50" s="299"/>
      <c r="DJ50" s="237">
        <f t="shared" si="46"/>
        <v>0</v>
      </c>
      <c r="DK50" s="11"/>
    </row>
    <row r="51" spans="1:115" s="3" customFormat="1" ht="21.75" customHeight="1" outlineLevel="1" thickTop="1" thickBot="1" x14ac:dyDescent="0.3">
      <c r="A51" s="80">
        <v>42</v>
      </c>
      <c r="B51" s="618"/>
      <c r="C51" s="761"/>
      <c r="D51" s="632"/>
      <c r="E51" s="663"/>
      <c r="F51" s="640" t="s">
        <v>69</v>
      </c>
      <c r="G51" s="641"/>
      <c r="H51" s="641"/>
      <c r="I51" s="642"/>
      <c r="J51" s="236">
        <f t="shared" si="29"/>
        <v>0</v>
      </c>
      <c r="K51" s="299" t="str">
        <f>IF(ISERROR(J51/J50),"",J51/J50)</f>
        <v/>
      </c>
      <c r="L51" s="237">
        <f t="shared" si="30"/>
        <v>0</v>
      </c>
      <c r="M51" s="299" t="str">
        <f>IF(ISERROR(L51/L50),"",L51/L50)</f>
        <v/>
      </c>
      <c r="N51" s="210">
        <f t="shared" si="31"/>
        <v>0</v>
      </c>
      <c r="O51" s="49" t="e">
        <f t="shared" si="32"/>
        <v>#VALUE!</v>
      </c>
      <c r="P51" s="47"/>
      <c r="Q51" s="512">
        <f>IF(ISERROR(R51*Q50),"",R51*Q50)</f>
        <v>0</v>
      </c>
      <c r="R51" s="525"/>
      <c r="S51" s="369"/>
      <c r="T51" s="368" t="str">
        <f>IF(ISERROR(S51/S50),"",S51/S50)</f>
        <v/>
      </c>
      <c r="U51" s="367">
        <f t="shared" si="33"/>
        <v>0</v>
      </c>
      <c r="V51" s="110"/>
      <c r="W51" s="512">
        <f>IF(ISERROR(X51*W50),"",X51*W50)</f>
        <v>0</v>
      </c>
      <c r="X51" s="525"/>
      <c r="Y51" s="369"/>
      <c r="Z51" s="368" t="str">
        <f>IF(ISERROR(Y51/Y50),"",Y51/Y50)</f>
        <v/>
      </c>
      <c r="AA51" s="367">
        <f t="shared" si="5"/>
        <v>0</v>
      </c>
      <c r="AB51" s="110"/>
      <c r="AC51" s="512">
        <f>IF(ISERROR(AD51*AC50),"",AD51*AC50)</f>
        <v>0</v>
      </c>
      <c r="AD51" s="525"/>
      <c r="AE51" s="369"/>
      <c r="AF51" s="368" t="str">
        <f>IF(ISERROR(AE51/AE50),"",AE51/AE50)</f>
        <v/>
      </c>
      <c r="AG51" s="367">
        <f t="shared" si="6"/>
        <v>0</v>
      </c>
      <c r="AH51" s="111" t="e">
        <f t="shared" si="34"/>
        <v>#VALUE!</v>
      </c>
      <c r="AI51" s="289">
        <f t="shared" si="35"/>
        <v>0</v>
      </c>
      <c r="AJ51" s="299" t="str">
        <f>IF(ISERROR(AI51/AI50),"",AI51/AI50)</f>
        <v/>
      </c>
      <c r="AK51" s="237">
        <f t="shared" si="36"/>
        <v>0</v>
      </c>
      <c r="AL51" s="299" t="str">
        <f>IF(ISERROR(AK51/AK50),"",AK51/AK50)</f>
        <v/>
      </c>
      <c r="AM51" s="237">
        <f t="shared" si="37"/>
        <v>0</v>
      </c>
      <c r="AN51" s="110"/>
      <c r="AO51" s="99"/>
      <c r="AP51" s="512">
        <f>IF(ISERROR(AQ51*AP50),"",AQ51*AP50)</f>
        <v>0</v>
      </c>
      <c r="AQ51" s="525"/>
      <c r="AR51" s="369"/>
      <c r="AS51" s="368" t="str">
        <f>IF(ISERROR(AR51/AR50),"",AR51/AR50)</f>
        <v/>
      </c>
      <c r="AT51" s="367">
        <f t="shared" si="11"/>
        <v>0</v>
      </c>
      <c r="AU51" s="110"/>
      <c r="AV51" s="512">
        <f>IF(ISERROR(AW51*AV50),"",AW51*AV50)</f>
        <v>0</v>
      </c>
      <c r="AW51" s="525"/>
      <c r="AX51" s="369"/>
      <c r="AY51" s="368" t="str">
        <f>IF(ISERROR(AX51/AX50),"",AX51/AX50)</f>
        <v/>
      </c>
      <c r="AZ51" s="367">
        <f t="shared" si="12"/>
        <v>0</v>
      </c>
      <c r="BA51" s="110"/>
      <c r="BB51" s="512">
        <f>IF(ISERROR(BC51*BB50),"",BC51*BB50)</f>
        <v>0</v>
      </c>
      <c r="BC51" s="525"/>
      <c r="BD51" s="369"/>
      <c r="BE51" s="368" t="str">
        <f>IF(ISERROR(BD51/BD50),"",BD51/BD50)</f>
        <v/>
      </c>
      <c r="BF51" s="367">
        <f t="shared" si="13"/>
        <v>0</v>
      </c>
      <c r="BG51" s="110"/>
      <c r="BH51" s="289">
        <f t="shared" si="38"/>
        <v>0</v>
      </c>
      <c r="BI51" s="299" t="str">
        <f>IF(ISERROR(BH51/BH50),"",BH51/BH50)</f>
        <v/>
      </c>
      <c r="BJ51" s="237">
        <f t="shared" si="39"/>
        <v>0</v>
      </c>
      <c r="BK51" s="299" t="str">
        <f>IF(ISERROR(BJ51/BJ50),"",BJ51/BJ50)</f>
        <v/>
      </c>
      <c r="BL51" s="237">
        <f t="shared" si="40"/>
        <v>0</v>
      </c>
      <c r="BM51" s="110"/>
      <c r="BN51" s="99"/>
      <c r="BO51" s="512">
        <f>IF(ISERROR(BP51*BO50),"",BP51*BO50)</f>
        <v>0</v>
      </c>
      <c r="BP51" s="525"/>
      <c r="BQ51" s="369"/>
      <c r="BR51" s="368" t="str">
        <f>IF(ISERROR(BQ51/BQ50),"",BQ51/BQ50)</f>
        <v/>
      </c>
      <c r="BS51" s="367">
        <f t="shared" si="17"/>
        <v>0</v>
      </c>
      <c r="BT51" s="110"/>
      <c r="BU51" s="512">
        <f>IF(ISERROR(BV51*BU50),"",BV51*BU50)</f>
        <v>0</v>
      </c>
      <c r="BV51" s="525"/>
      <c r="BW51" s="369"/>
      <c r="BX51" s="368" t="str">
        <f>IF(ISERROR(BW51/BW50),"",BW51/BW50)</f>
        <v/>
      </c>
      <c r="BY51" s="367">
        <f t="shared" si="18"/>
        <v>0</v>
      </c>
      <c r="BZ51" s="110"/>
      <c r="CA51" s="512">
        <f>IF(ISERROR(CB51*CA50),"",CB51*CA50)</f>
        <v>0</v>
      </c>
      <c r="CB51" s="525"/>
      <c r="CC51" s="369"/>
      <c r="CD51" s="368" t="str">
        <f>IF(ISERROR(CC51/CC50),"",CC51/CC50)</f>
        <v/>
      </c>
      <c r="CE51" s="367">
        <f t="shared" si="19"/>
        <v>0</v>
      </c>
      <c r="CF51" s="110"/>
      <c r="CG51" s="289">
        <f t="shared" si="41"/>
        <v>0</v>
      </c>
      <c r="CH51" s="299" t="str">
        <f>IF(ISERROR(CG51/CG50),"",CG51/CG50)</f>
        <v/>
      </c>
      <c r="CI51" s="237">
        <f t="shared" si="42"/>
        <v>0</v>
      </c>
      <c r="CJ51" s="299" t="str">
        <f>IF(ISERROR(CI51/CI50),"",CI51/CI50)</f>
        <v/>
      </c>
      <c r="CK51" s="237">
        <f t="shared" si="43"/>
        <v>0</v>
      </c>
      <c r="CL51" s="110"/>
      <c r="CM51" s="100"/>
      <c r="CN51" s="512">
        <f>IF(ISERROR(CO51*CN50),"",CO51*CN50)</f>
        <v>0</v>
      </c>
      <c r="CO51" s="525"/>
      <c r="CP51" s="369"/>
      <c r="CQ51" s="368" t="str">
        <f>IF(ISERROR(CP51/CP50),"",CP51/CP50)</f>
        <v/>
      </c>
      <c r="CR51" s="367">
        <f t="shared" si="23"/>
        <v>0</v>
      </c>
      <c r="CS51" s="110"/>
      <c r="CT51" s="512">
        <f>IF(ISERROR(CU51*CT50),"",CU51*CT50)</f>
        <v>0</v>
      </c>
      <c r="CU51" s="525"/>
      <c r="CV51" s="369"/>
      <c r="CW51" s="368" t="str">
        <f>IF(ISERROR(CV51/CV50),"",CV51/CV50)</f>
        <v/>
      </c>
      <c r="CX51" s="367">
        <f t="shared" si="24"/>
        <v>0</v>
      </c>
      <c r="CY51" s="110"/>
      <c r="CZ51" s="512">
        <f>IF(ISERROR(DA51*CZ50),"",DA51*CZ50)</f>
        <v>0</v>
      </c>
      <c r="DA51" s="525"/>
      <c r="DB51" s="369"/>
      <c r="DC51" s="368" t="str">
        <f>IF(ISERROR(DB51/DB50),"",DB51/DB50)</f>
        <v/>
      </c>
      <c r="DD51" s="367">
        <f t="shared" si="25"/>
        <v>0</v>
      </c>
      <c r="DE51" s="110"/>
      <c r="DF51" s="289">
        <f t="shared" si="44"/>
        <v>0</v>
      </c>
      <c r="DG51" s="299" t="str">
        <f>IF(ISERROR(DF51/DF50),"",DF51/DF50)</f>
        <v/>
      </c>
      <c r="DH51" s="237">
        <f t="shared" si="45"/>
        <v>0</v>
      </c>
      <c r="DI51" s="299" t="str">
        <f>IF(ISERROR(DH51/DH50),"",DH51/DH50)</f>
        <v/>
      </c>
      <c r="DJ51" s="237">
        <f t="shared" si="46"/>
        <v>0</v>
      </c>
      <c r="DK51" s="11"/>
    </row>
    <row r="52" spans="1:115" s="3" customFormat="1" ht="21.75" customHeight="1" outlineLevel="1" thickTop="1" x14ac:dyDescent="0.25">
      <c r="A52" s="80">
        <v>43</v>
      </c>
      <c r="B52" s="618"/>
      <c r="C52" s="761"/>
      <c r="D52" s="632"/>
      <c r="E52" s="656"/>
      <c r="F52" s="682" t="s">
        <v>70</v>
      </c>
      <c r="G52" s="683"/>
      <c r="H52" s="683"/>
      <c r="I52" s="684"/>
      <c r="J52" s="244">
        <f t="shared" si="29"/>
        <v>0</v>
      </c>
      <c r="K52" s="227" t="str">
        <f>IF(ISERROR(J52/(J46+J48+J50)),"",J52/(J46+J48+J50))</f>
        <v/>
      </c>
      <c r="L52" s="245">
        <f t="shared" si="30"/>
        <v>0</v>
      </c>
      <c r="M52" s="227" t="str">
        <f>IF(ISERROR(L52/(L46+L48+L50)),"",L52/(L46+L48+L50))</f>
        <v/>
      </c>
      <c r="N52" s="214">
        <f t="shared" si="31"/>
        <v>0</v>
      </c>
      <c r="O52" s="53" t="e">
        <f t="shared" si="32"/>
        <v>#VALUE!</v>
      </c>
      <c r="P52" s="47"/>
      <c r="Q52" s="254"/>
      <c r="R52" s="526" t="str">
        <f>IF(ISERROR(Q52/(Q46+Q48+Q50)),"",Q52/(Q46+Q48+Q50))</f>
        <v/>
      </c>
      <c r="S52" s="384"/>
      <c r="T52" s="386" t="str">
        <f>IF(ISERROR(S52/(S46+S48+S50)),"",S52/(S46+S48+S50))</f>
        <v/>
      </c>
      <c r="U52" s="384">
        <f t="shared" si="33"/>
        <v>0</v>
      </c>
      <c r="V52" s="119"/>
      <c r="W52" s="254"/>
      <c r="X52" s="526" t="str">
        <f>IF(ISERROR(W52/(W46+W48+W50)),"",W52/(W46+W48+W50))</f>
        <v/>
      </c>
      <c r="Y52" s="384"/>
      <c r="Z52" s="386" t="str">
        <f>IF(ISERROR(Y52/(Y46+Y48+Y50)),"",Y52/(Y46+Y48+Y50))</f>
        <v/>
      </c>
      <c r="AA52" s="384">
        <f t="shared" si="5"/>
        <v>0</v>
      </c>
      <c r="AB52" s="119"/>
      <c r="AC52" s="254"/>
      <c r="AD52" s="526" t="str">
        <f>IF(ISERROR(AC52/(AC46+AC48+AC50)),"",AC52/(AC46+AC48+AC50))</f>
        <v/>
      </c>
      <c r="AE52" s="384"/>
      <c r="AF52" s="386" t="str">
        <f>IF(ISERROR(AE52/(AE46+AE48+AE50)),"",AE52/(AE46+AE48+AE50))</f>
        <v/>
      </c>
      <c r="AG52" s="384">
        <f t="shared" si="6"/>
        <v>0</v>
      </c>
      <c r="AH52" s="118" t="e">
        <f t="shared" si="34"/>
        <v>#VALUE!</v>
      </c>
      <c r="AI52" s="244">
        <f t="shared" si="35"/>
        <v>0</v>
      </c>
      <c r="AJ52" s="227" t="str">
        <f>IF(ISERROR(AI52/(AI46+AI48+AI50)),"",AI52/(AI46+AI48+AI50))</f>
        <v/>
      </c>
      <c r="AK52" s="245">
        <f t="shared" si="36"/>
        <v>0</v>
      </c>
      <c r="AL52" s="227" t="str">
        <f>IF(ISERROR(AK52/(AK46+AK48+AK50)),"",AK52/(AK46+AK48+AK50))</f>
        <v/>
      </c>
      <c r="AM52" s="245">
        <f t="shared" si="37"/>
        <v>0</v>
      </c>
      <c r="AN52" s="119"/>
      <c r="AO52" s="99"/>
      <c r="AP52" s="254"/>
      <c r="AQ52" s="526" t="str">
        <f>IF(ISERROR(AP52/(AP46+AP48+AP50)),"",AP52/(AP46+AP48+AP50))</f>
        <v/>
      </c>
      <c r="AR52" s="384"/>
      <c r="AS52" s="386" t="str">
        <f>IF(ISERROR(AR52/(AR46+AR48+AR50)),"",AR52/(AR46+AR48+AR50))</f>
        <v/>
      </c>
      <c r="AT52" s="384">
        <f t="shared" si="11"/>
        <v>0</v>
      </c>
      <c r="AU52" s="119"/>
      <c r="AV52" s="254"/>
      <c r="AW52" s="526" t="str">
        <f>IF(ISERROR(AV52/(AV46+AV48+AV50)),"",AV52/(AV46+AV48+AV50))</f>
        <v/>
      </c>
      <c r="AX52" s="384"/>
      <c r="AY52" s="386" t="str">
        <f>IF(ISERROR(AX52/(AX46+AX48+AX50)),"",AX52/(AX46+AX48+AX50))</f>
        <v/>
      </c>
      <c r="AZ52" s="384">
        <f t="shared" si="12"/>
        <v>0</v>
      </c>
      <c r="BA52" s="119"/>
      <c r="BB52" s="254"/>
      <c r="BC52" s="526" t="str">
        <f>IF(ISERROR(BB52/(BB46+BB48+BB50)),"",BB52/(BB46+BB48+BB50))</f>
        <v/>
      </c>
      <c r="BD52" s="384"/>
      <c r="BE52" s="386" t="str">
        <f>IF(ISERROR(BD52/(BD46+BD48+BD50)),"",BD52/(BD46+BD48+BD50))</f>
        <v/>
      </c>
      <c r="BF52" s="384">
        <f t="shared" si="13"/>
        <v>0</v>
      </c>
      <c r="BG52" s="119"/>
      <c r="BH52" s="244">
        <f t="shared" si="38"/>
        <v>0</v>
      </c>
      <c r="BI52" s="227" t="str">
        <f>IF(ISERROR(BH52/(BH46+BH48+BH50)),"",BH52/(BH46+BH48+BH50))</f>
        <v/>
      </c>
      <c r="BJ52" s="245">
        <f t="shared" si="39"/>
        <v>0</v>
      </c>
      <c r="BK52" s="227" t="str">
        <f>IF(ISERROR(BJ52/(BJ46+BJ48+BJ50)),"",BJ52/(BJ46+BJ48+BJ50))</f>
        <v/>
      </c>
      <c r="BL52" s="245">
        <f t="shared" si="40"/>
        <v>0</v>
      </c>
      <c r="BM52" s="119"/>
      <c r="BN52" s="99"/>
      <c r="BO52" s="254"/>
      <c r="BP52" s="526" t="str">
        <f>IF(ISERROR(BO52/(BO46+BO48+BO50)),"",BO52/(BO46+BO48+BO50))</f>
        <v/>
      </c>
      <c r="BQ52" s="384"/>
      <c r="BR52" s="386" t="str">
        <f>IF(ISERROR(BQ52/(BQ46+BQ48+BQ50)),"",BQ52/(BQ46+BQ48+BQ50))</f>
        <v/>
      </c>
      <c r="BS52" s="384">
        <f t="shared" si="17"/>
        <v>0</v>
      </c>
      <c r="BT52" s="119"/>
      <c r="BU52" s="254"/>
      <c r="BV52" s="526" t="str">
        <f>IF(ISERROR(BU52/(BU46+BU48+BU50)),"",BU52/(BU46+BU48+BU50))</f>
        <v/>
      </c>
      <c r="BW52" s="384"/>
      <c r="BX52" s="386" t="str">
        <f>IF(ISERROR(BW52/(BW46+BW48+BW50)),"",BW52/(BW46+BW48+BW50))</f>
        <v/>
      </c>
      <c r="BY52" s="384">
        <f t="shared" si="18"/>
        <v>0</v>
      </c>
      <c r="BZ52" s="119"/>
      <c r="CA52" s="254"/>
      <c r="CB52" s="526" t="str">
        <f>IF(ISERROR(CA52/(CA46+CA48+CA50)),"",CA52/(CA46+CA48+CA50))</f>
        <v/>
      </c>
      <c r="CC52" s="384"/>
      <c r="CD52" s="386" t="str">
        <f>IF(ISERROR(CC52/(CC46+CC48+CC50)),"",CC52/(CC46+CC48+CC50))</f>
        <v/>
      </c>
      <c r="CE52" s="384">
        <f t="shared" si="19"/>
        <v>0</v>
      </c>
      <c r="CF52" s="119"/>
      <c r="CG52" s="244">
        <f t="shared" si="41"/>
        <v>0</v>
      </c>
      <c r="CH52" s="227" t="str">
        <f>IF(ISERROR(CG52/(CG46+CG48+CG50)),"",CG52/(CG46+CG48+CG50))</f>
        <v/>
      </c>
      <c r="CI52" s="245">
        <f t="shared" si="42"/>
        <v>0</v>
      </c>
      <c r="CJ52" s="227" t="str">
        <f>IF(ISERROR(CI52/(CI46+CI48+CI50)),"",CI52/(CI46+CI48+CI50))</f>
        <v/>
      </c>
      <c r="CK52" s="245">
        <f t="shared" si="43"/>
        <v>0</v>
      </c>
      <c r="CL52" s="119"/>
      <c r="CM52" s="100"/>
      <c r="CN52" s="254"/>
      <c r="CO52" s="526" t="str">
        <f>IF(ISERROR(CN52/(CN46+CN48+CN50)),"",CN52/(CN46+CN48+CN50))</f>
        <v/>
      </c>
      <c r="CP52" s="384"/>
      <c r="CQ52" s="386" t="str">
        <f>IF(ISERROR(CP52/(CP46+CP48+CP50)),"",CP52/(CP46+CP48+CP50))</f>
        <v/>
      </c>
      <c r="CR52" s="384">
        <f t="shared" si="23"/>
        <v>0</v>
      </c>
      <c r="CS52" s="119"/>
      <c r="CT52" s="254"/>
      <c r="CU52" s="526" t="str">
        <f>IF(ISERROR(CT52/(CT46+CT48+CT50)),"",CT52/(CT46+CT48+CT50))</f>
        <v/>
      </c>
      <c r="CV52" s="384"/>
      <c r="CW52" s="386" t="str">
        <f>IF(ISERROR(CV52/(CV46+CV48+CV50)),"",CV52/(CV46+CV48+CV50))</f>
        <v/>
      </c>
      <c r="CX52" s="384">
        <f t="shared" si="24"/>
        <v>0</v>
      </c>
      <c r="CY52" s="119"/>
      <c r="CZ52" s="254"/>
      <c r="DA52" s="526" t="str">
        <f>IF(ISERROR(CZ52/(CZ46+CZ48+CZ50)),"",CZ52/(CZ46+CZ48+CZ50))</f>
        <v/>
      </c>
      <c r="DB52" s="384"/>
      <c r="DC52" s="386" t="str">
        <f>IF(ISERROR(DB52/(DB46+DB48+DB50)),"",DB52/(DB46+DB48+DB50))</f>
        <v/>
      </c>
      <c r="DD52" s="384">
        <f t="shared" si="25"/>
        <v>0</v>
      </c>
      <c r="DE52" s="119"/>
      <c r="DF52" s="244">
        <f t="shared" si="44"/>
        <v>0</v>
      </c>
      <c r="DG52" s="227" t="str">
        <f>IF(ISERROR(DF52/(DF46+DF48+DF50)),"",DF52/(DF46+DF48+DF50))</f>
        <v/>
      </c>
      <c r="DH52" s="245">
        <f t="shared" si="45"/>
        <v>0</v>
      </c>
      <c r="DI52" s="227" t="str">
        <f>IF(ISERROR(DH52/(DH46+DH48+DH50)),"",DH52/(DH46+DH48+DH50))</f>
        <v/>
      </c>
      <c r="DJ52" s="245">
        <f t="shared" si="46"/>
        <v>0</v>
      </c>
      <c r="DK52" s="15"/>
    </row>
    <row r="53" spans="1:115" s="3" customFormat="1" ht="21.75" customHeight="1" outlineLevel="1" x14ac:dyDescent="0.25">
      <c r="A53" s="80">
        <v>44</v>
      </c>
      <c r="B53" s="618"/>
      <c r="C53" s="761"/>
      <c r="D53" s="632"/>
      <c r="E53" s="676" t="s">
        <v>71</v>
      </c>
      <c r="F53" s="677"/>
      <c r="G53" s="677"/>
      <c r="H53" s="677"/>
      <c r="I53" s="678"/>
      <c r="J53" s="246">
        <f t="shared" si="29"/>
        <v>0</v>
      </c>
      <c r="K53" s="279"/>
      <c r="L53" s="247">
        <f t="shared" si="30"/>
        <v>0</v>
      </c>
      <c r="M53" s="279"/>
      <c r="N53" s="215">
        <f t="shared" si="31"/>
        <v>0</v>
      </c>
      <c r="O53" s="54">
        <f t="shared" si="32"/>
        <v>0</v>
      </c>
      <c r="P53" s="47"/>
      <c r="Q53" s="258">
        <f>SUM(Q39,Q46,Q48,Q50)</f>
        <v>0</v>
      </c>
      <c r="R53" s="279"/>
      <c r="S53" s="381">
        <f>SUM(S39,S46,S48,S50)</f>
        <v>0</v>
      </c>
      <c r="T53" s="382"/>
      <c r="U53" s="381">
        <f t="shared" si="33"/>
        <v>0</v>
      </c>
      <c r="V53" s="121"/>
      <c r="W53" s="258">
        <f>SUM(W39,W46,W48,W50)</f>
        <v>0</v>
      </c>
      <c r="X53" s="279"/>
      <c r="Y53" s="381">
        <f>SUM(Y39,Y46,Y48,Y50)</f>
        <v>0</v>
      </c>
      <c r="Z53" s="382"/>
      <c r="AA53" s="381">
        <f t="shared" si="5"/>
        <v>0</v>
      </c>
      <c r="AB53" s="121"/>
      <c r="AC53" s="258">
        <f>SUM(AC39,AC46,AC48,AC50)</f>
        <v>0</v>
      </c>
      <c r="AD53" s="279"/>
      <c r="AE53" s="381">
        <f>SUM(AE39,AE46,AE48,AE50)</f>
        <v>0</v>
      </c>
      <c r="AF53" s="382"/>
      <c r="AG53" s="381">
        <f t="shared" si="6"/>
        <v>0</v>
      </c>
      <c r="AH53" s="120">
        <f t="shared" si="34"/>
        <v>0</v>
      </c>
      <c r="AI53" s="246">
        <f t="shared" si="35"/>
        <v>0</v>
      </c>
      <c r="AJ53" s="279"/>
      <c r="AK53" s="247">
        <f t="shared" si="36"/>
        <v>0</v>
      </c>
      <c r="AL53" s="279"/>
      <c r="AM53" s="247">
        <f t="shared" si="37"/>
        <v>0</v>
      </c>
      <c r="AN53" s="121"/>
      <c r="AO53" s="99"/>
      <c r="AP53" s="258">
        <f>SUM(AP39,AP46,AP48,AP50)</f>
        <v>0</v>
      </c>
      <c r="AQ53" s="279"/>
      <c r="AR53" s="381">
        <f>SUM(AR39,AR46,AR48,AR50)</f>
        <v>0</v>
      </c>
      <c r="AS53" s="382"/>
      <c r="AT53" s="381">
        <f t="shared" si="11"/>
        <v>0</v>
      </c>
      <c r="AU53" s="121"/>
      <c r="AV53" s="258">
        <f>SUM(AV39,AV46,AV48,AV50)</f>
        <v>0</v>
      </c>
      <c r="AW53" s="279"/>
      <c r="AX53" s="381">
        <f>SUM(AX39,AX46,AX48,AX50)</f>
        <v>0</v>
      </c>
      <c r="AY53" s="382"/>
      <c r="AZ53" s="381">
        <f t="shared" si="12"/>
        <v>0</v>
      </c>
      <c r="BA53" s="121"/>
      <c r="BB53" s="258">
        <f>SUM(BB39,BB46,BB48,BB50)</f>
        <v>0</v>
      </c>
      <c r="BC53" s="279"/>
      <c r="BD53" s="381">
        <f>SUM(BD39,BD46,BD48,BD50)</f>
        <v>0</v>
      </c>
      <c r="BE53" s="382"/>
      <c r="BF53" s="381">
        <f t="shared" si="13"/>
        <v>0</v>
      </c>
      <c r="BG53" s="121"/>
      <c r="BH53" s="246">
        <f t="shared" si="38"/>
        <v>0</v>
      </c>
      <c r="BI53" s="279"/>
      <c r="BJ53" s="247">
        <f t="shared" si="39"/>
        <v>0</v>
      </c>
      <c r="BK53" s="279"/>
      <c r="BL53" s="247">
        <f t="shared" si="40"/>
        <v>0</v>
      </c>
      <c r="BM53" s="121"/>
      <c r="BN53" s="99"/>
      <c r="BO53" s="258">
        <f>SUM(BO39,BO46,BO48,BO50)</f>
        <v>0</v>
      </c>
      <c r="BP53" s="279"/>
      <c r="BQ53" s="381">
        <f>SUM(BQ39,BQ46,BQ48,BQ50)</f>
        <v>0</v>
      </c>
      <c r="BR53" s="382"/>
      <c r="BS53" s="381">
        <f t="shared" si="17"/>
        <v>0</v>
      </c>
      <c r="BT53" s="121"/>
      <c r="BU53" s="258">
        <f>SUM(BU39,BU46,BU48,BU50)</f>
        <v>0</v>
      </c>
      <c r="BV53" s="279"/>
      <c r="BW53" s="381">
        <f>SUM(BW39,BW46,BW48,BW50)</f>
        <v>0</v>
      </c>
      <c r="BX53" s="382"/>
      <c r="BY53" s="381">
        <f t="shared" si="18"/>
        <v>0</v>
      </c>
      <c r="BZ53" s="121"/>
      <c r="CA53" s="258">
        <f>SUM(CA39,CA46,CA48,CA50)</f>
        <v>0</v>
      </c>
      <c r="CB53" s="279"/>
      <c r="CC53" s="381">
        <f>SUM(CC39,CC46,CC48,CC50)</f>
        <v>0</v>
      </c>
      <c r="CD53" s="382"/>
      <c r="CE53" s="381">
        <f t="shared" si="19"/>
        <v>0</v>
      </c>
      <c r="CF53" s="121"/>
      <c r="CG53" s="246">
        <f t="shared" si="41"/>
        <v>0</v>
      </c>
      <c r="CH53" s="279"/>
      <c r="CI53" s="247">
        <f t="shared" si="42"/>
        <v>0</v>
      </c>
      <c r="CJ53" s="279"/>
      <c r="CK53" s="247">
        <f t="shared" si="43"/>
        <v>0</v>
      </c>
      <c r="CL53" s="121"/>
      <c r="CM53" s="100"/>
      <c r="CN53" s="258">
        <f>SUM(CN39,CN46,CN48,CN50)</f>
        <v>0</v>
      </c>
      <c r="CO53" s="279"/>
      <c r="CP53" s="381">
        <f>SUM(CP39,CP46,CP48,CP50)</f>
        <v>0</v>
      </c>
      <c r="CQ53" s="382"/>
      <c r="CR53" s="381">
        <f t="shared" si="23"/>
        <v>0</v>
      </c>
      <c r="CS53" s="121"/>
      <c r="CT53" s="258">
        <f>SUM(CT39,CT46,CT48,CT50)</f>
        <v>0</v>
      </c>
      <c r="CU53" s="279"/>
      <c r="CV53" s="381">
        <f>SUM(CV39,CV46,CV48,CV50)</f>
        <v>0</v>
      </c>
      <c r="CW53" s="382"/>
      <c r="CX53" s="381">
        <f t="shared" si="24"/>
        <v>0</v>
      </c>
      <c r="CY53" s="121"/>
      <c r="CZ53" s="258">
        <f>SUM(CZ39,CZ46,CZ48,CZ50)</f>
        <v>0</v>
      </c>
      <c r="DA53" s="279"/>
      <c r="DB53" s="381">
        <f>SUM(DB39,DB46,DB48,DB50)</f>
        <v>0</v>
      </c>
      <c r="DC53" s="382"/>
      <c r="DD53" s="381">
        <f t="shared" si="25"/>
        <v>0</v>
      </c>
      <c r="DE53" s="121"/>
      <c r="DF53" s="246">
        <f t="shared" si="44"/>
        <v>0</v>
      </c>
      <c r="DG53" s="279"/>
      <c r="DH53" s="247">
        <f t="shared" si="45"/>
        <v>0</v>
      </c>
      <c r="DI53" s="279"/>
      <c r="DJ53" s="247">
        <f t="shared" si="46"/>
        <v>0</v>
      </c>
      <c r="DK53" s="16"/>
    </row>
    <row r="54" spans="1:115" s="3" customFormat="1" ht="21.75" customHeight="1" outlineLevel="1" thickBot="1" x14ac:dyDescent="0.3">
      <c r="A54" s="80">
        <v>45</v>
      </c>
      <c r="B54" s="618"/>
      <c r="C54" s="761"/>
      <c r="D54" s="632"/>
      <c r="E54" s="679" t="s">
        <v>72</v>
      </c>
      <c r="F54" s="680"/>
      <c r="G54" s="680"/>
      <c r="H54" s="680"/>
      <c r="I54" s="681"/>
      <c r="J54" s="246">
        <f t="shared" si="29"/>
        <v>0</v>
      </c>
      <c r="K54" s="279" t="str">
        <f>IF(ISERROR(J54/J53),"",J54/J53)</f>
        <v/>
      </c>
      <c r="L54" s="247">
        <f t="shared" si="30"/>
        <v>0</v>
      </c>
      <c r="M54" s="279" t="str">
        <f>IF(ISERROR(L54/L53),"",L54/L53)</f>
        <v/>
      </c>
      <c r="N54" s="215">
        <f t="shared" si="31"/>
        <v>0</v>
      </c>
      <c r="O54" s="54" t="e">
        <f t="shared" si="32"/>
        <v>#VALUE!</v>
      </c>
      <c r="P54" s="47"/>
      <c r="Q54" s="258">
        <f>SUM(Q45,Q52)</f>
        <v>0</v>
      </c>
      <c r="R54" s="279" t="str">
        <f>IF(ISERROR(Q54/Q53),"",Q54/Q53)</f>
        <v/>
      </c>
      <c r="S54" s="381">
        <f>SUM(S45,S52)</f>
        <v>0</v>
      </c>
      <c r="T54" s="382" t="str">
        <f>IF(ISERROR(S54/S53),"",S54/S53)</f>
        <v/>
      </c>
      <c r="U54" s="381">
        <f t="shared" si="33"/>
        <v>0</v>
      </c>
      <c r="V54" s="121"/>
      <c r="W54" s="258">
        <f>SUM(W45,W52)</f>
        <v>0</v>
      </c>
      <c r="X54" s="279" t="str">
        <f>IF(ISERROR(W54/W53),"",W54/W53)</f>
        <v/>
      </c>
      <c r="Y54" s="381">
        <f>SUM(Y45,Y52)</f>
        <v>0</v>
      </c>
      <c r="Z54" s="382" t="str">
        <f>IF(ISERROR(Y54/Y53),"",Y54/Y53)</f>
        <v/>
      </c>
      <c r="AA54" s="381">
        <f t="shared" si="5"/>
        <v>0</v>
      </c>
      <c r="AB54" s="121"/>
      <c r="AC54" s="258">
        <f>SUM(AC45,AC52)</f>
        <v>0</v>
      </c>
      <c r="AD54" s="279" t="str">
        <f>IF(ISERROR(AC54/AC53),"",AC54/AC53)</f>
        <v/>
      </c>
      <c r="AE54" s="381">
        <f>SUM(AE45,AE52)</f>
        <v>0</v>
      </c>
      <c r="AF54" s="382" t="str">
        <f>IF(ISERROR(AE54/AE53),"",AE54/AE53)</f>
        <v/>
      </c>
      <c r="AG54" s="381">
        <f t="shared" si="6"/>
        <v>0</v>
      </c>
      <c r="AH54" s="120" t="e">
        <f t="shared" si="34"/>
        <v>#VALUE!</v>
      </c>
      <c r="AI54" s="246">
        <f t="shared" si="35"/>
        <v>0</v>
      </c>
      <c r="AJ54" s="279" t="str">
        <f>IF(ISERROR(AI54/AI53),"",AI54/AI53)</f>
        <v/>
      </c>
      <c r="AK54" s="247">
        <f t="shared" si="36"/>
        <v>0</v>
      </c>
      <c r="AL54" s="279" t="str">
        <f>IF(ISERROR(AK54/AK53),"",AK54/AK53)</f>
        <v/>
      </c>
      <c r="AM54" s="247">
        <f t="shared" si="37"/>
        <v>0</v>
      </c>
      <c r="AN54" s="121"/>
      <c r="AO54" s="99"/>
      <c r="AP54" s="258">
        <f>SUM(AP45,AP52)</f>
        <v>0</v>
      </c>
      <c r="AQ54" s="279" t="str">
        <f>IF(ISERROR(AP54/AP53),"",AP54/AP53)</f>
        <v/>
      </c>
      <c r="AR54" s="381">
        <f>SUM(AR45,AR52)</f>
        <v>0</v>
      </c>
      <c r="AS54" s="382" t="str">
        <f>IF(ISERROR(AR54/AR53),"",AR54/AR53)</f>
        <v/>
      </c>
      <c r="AT54" s="381">
        <f t="shared" si="11"/>
        <v>0</v>
      </c>
      <c r="AU54" s="121"/>
      <c r="AV54" s="258">
        <f>SUM(AV45,AV52)</f>
        <v>0</v>
      </c>
      <c r="AW54" s="279" t="str">
        <f>IF(ISERROR(AV54/AV53),"",AV54/AV53)</f>
        <v/>
      </c>
      <c r="AX54" s="381">
        <f>SUM(AX45,AX52)</f>
        <v>0</v>
      </c>
      <c r="AY54" s="382" t="str">
        <f>IF(ISERROR(AX54/AX53),"",AX54/AX53)</f>
        <v/>
      </c>
      <c r="AZ54" s="381">
        <f t="shared" si="12"/>
        <v>0</v>
      </c>
      <c r="BA54" s="121"/>
      <c r="BB54" s="258">
        <f>SUM(BB45,BB52)</f>
        <v>0</v>
      </c>
      <c r="BC54" s="279" t="str">
        <f>IF(ISERROR(BB54/BB53),"",BB54/BB53)</f>
        <v/>
      </c>
      <c r="BD54" s="381">
        <f>SUM(BD45,BD52)</f>
        <v>0</v>
      </c>
      <c r="BE54" s="382" t="str">
        <f>IF(ISERROR(BD54/BD53),"",BD54/BD53)</f>
        <v/>
      </c>
      <c r="BF54" s="381">
        <f t="shared" si="13"/>
        <v>0</v>
      </c>
      <c r="BG54" s="121"/>
      <c r="BH54" s="246">
        <f t="shared" si="38"/>
        <v>0</v>
      </c>
      <c r="BI54" s="279" t="str">
        <f>IF(ISERROR(BH54/BH53),"",BH54/BH53)</f>
        <v/>
      </c>
      <c r="BJ54" s="247">
        <f t="shared" si="39"/>
        <v>0</v>
      </c>
      <c r="BK54" s="279" t="str">
        <f>IF(ISERROR(BJ54/BJ53),"",BJ54/BJ53)</f>
        <v/>
      </c>
      <c r="BL54" s="247">
        <f t="shared" si="40"/>
        <v>0</v>
      </c>
      <c r="BM54" s="121"/>
      <c r="BN54" s="99"/>
      <c r="BO54" s="258">
        <f>SUM(BO45,BO52)</f>
        <v>0</v>
      </c>
      <c r="BP54" s="279" t="str">
        <f>IF(ISERROR(BO54/BO53),"",BO54/BO53)</f>
        <v/>
      </c>
      <c r="BQ54" s="381">
        <f>SUM(BQ45,BQ52)</f>
        <v>0</v>
      </c>
      <c r="BR54" s="382" t="str">
        <f>IF(ISERROR(BQ54/BQ53),"",BQ54/BQ53)</f>
        <v/>
      </c>
      <c r="BS54" s="381">
        <f t="shared" si="17"/>
        <v>0</v>
      </c>
      <c r="BT54" s="121"/>
      <c r="BU54" s="258">
        <f>SUM(BU45,BU52)</f>
        <v>0</v>
      </c>
      <c r="BV54" s="279" t="str">
        <f>IF(ISERROR(BU54/BU53),"",BU54/BU53)</f>
        <v/>
      </c>
      <c r="BW54" s="381">
        <f>SUM(BW45,BW52)</f>
        <v>0</v>
      </c>
      <c r="BX54" s="382" t="str">
        <f>IF(ISERROR(BW54/BW53),"",BW54/BW53)</f>
        <v/>
      </c>
      <c r="BY54" s="381">
        <f t="shared" si="18"/>
        <v>0</v>
      </c>
      <c r="BZ54" s="121"/>
      <c r="CA54" s="258">
        <f>SUM(CA45,CA52)</f>
        <v>0</v>
      </c>
      <c r="CB54" s="279" t="str">
        <f>IF(ISERROR(CA54/CA53),"",CA54/CA53)</f>
        <v/>
      </c>
      <c r="CC54" s="381">
        <f>SUM(CC45,CC52)</f>
        <v>0</v>
      </c>
      <c r="CD54" s="382" t="str">
        <f>IF(ISERROR(CC54/CC53),"",CC54/CC53)</f>
        <v/>
      </c>
      <c r="CE54" s="381">
        <f t="shared" si="19"/>
        <v>0</v>
      </c>
      <c r="CF54" s="121"/>
      <c r="CG54" s="246">
        <f t="shared" si="41"/>
        <v>0</v>
      </c>
      <c r="CH54" s="279" t="str">
        <f>IF(ISERROR(CG54/CG53),"",CG54/CG53)</f>
        <v/>
      </c>
      <c r="CI54" s="247">
        <f t="shared" si="42"/>
        <v>0</v>
      </c>
      <c r="CJ54" s="279" t="str">
        <f>IF(ISERROR(CI54/CI53),"",CI54/CI53)</f>
        <v/>
      </c>
      <c r="CK54" s="247">
        <f t="shared" si="43"/>
        <v>0</v>
      </c>
      <c r="CL54" s="121"/>
      <c r="CM54" s="100"/>
      <c r="CN54" s="258">
        <f>SUM(CN45,CN52)</f>
        <v>0</v>
      </c>
      <c r="CO54" s="279" t="str">
        <f>IF(ISERROR(CN54/CN53),"",CN54/CN53)</f>
        <v/>
      </c>
      <c r="CP54" s="381">
        <f>SUM(CP45,CP52)</f>
        <v>0</v>
      </c>
      <c r="CQ54" s="382" t="str">
        <f>IF(ISERROR(CP54/CP53),"",CP54/CP53)</f>
        <v/>
      </c>
      <c r="CR54" s="381">
        <f t="shared" si="23"/>
        <v>0</v>
      </c>
      <c r="CS54" s="121"/>
      <c r="CT54" s="258">
        <f>SUM(CT45,CT52)</f>
        <v>0</v>
      </c>
      <c r="CU54" s="279" t="str">
        <f>IF(ISERROR(CT54/CT53),"",CT54/CT53)</f>
        <v/>
      </c>
      <c r="CV54" s="381">
        <f>SUM(CV45,CV52)</f>
        <v>0</v>
      </c>
      <c r="CW54" s="382" t="str">
        <f>IF(ISERROR(CV54/CV53),"",CV54/CV53)</f>
        <v/>
      </c>
      <c r="CX54" s="381">
        <f t="shared" si="24"/>
        <v>0</v>
      </c>
      <c r="CY54" s="121"/>
      <c r="CZ54" s="258">
        <f>SUM(CZ45,CZ52)</f>
        <v>0</v>
      </c>
      <c r="DA54" s="279" t="str">
        <f>IF(ISERROR(CZ54/CZ53),"",CZ54/CZ53)</f>
        <v/>
      </c>
      <c r="DB54" s="381">
        <f>SUM(DB45,DB52)</f>
        <v>0</v>
      </c>
      <c r="DC54" s="382" t="str">
        <f>IF(ISERROR(DB54/DB53),"",DB54/DB53)</f>
        <v/>
      </c>
      <c r="DD54" s="381">
        <f t="shared" si="25"/>
        <v>0</v>
      </c>
      <c r="DE54" s="121"/>
      <c r="DF54" s="246">
        <f t="shared" si="44"/>
        <v>0</v>
      </c>
      <c r="DG54" s="279" t="str">
        <f>IF(ISERROR(DF54/DF53),"",DF54/DF53)</f>
        <v/>
      </c>
      <c r="DH54" s="247">
        <f t="shared" si="45"/>
        <v>0</v>
      </c>
      <c r="DI54" s="279" t="str">
        <f>IF(ISERROR(DH54/DH53),"",DH54/DH53)</f>
        <v/>
      </c>
      <c r="DJ54" s="247">
        <f t="shared" si="46"/>
        <v>0</v>
      </c>
      <c r="DK54" s="16"/>
    </row>
    <row r="55" spans="1:115" s="3" customFormat="1" ht="21.75" hidden="1" customHeight="1" outlineLevel="1" x14ac:dyDescent="0.25">
      <c r="A55" s="80">
        <v>46</v>
      </c>
      <c r="B55" s="618"/>
      <c r="C55" s="761"/>
      <c r="D55" s="632"/>
      <c r="E55" s="679"/>
      <c r="F55" s="680"/>
      <c r="G55" s="680"/>
      <c r="H55" s="680"/>
      <c r="I55" s="681"/>
      <c r="J55" s="246">
        <f t="shared" si="29"/>
        <v>0</v>
      </c>
      <c r="K55" s="279" t="str">
        <f>IF(ISERROR(J55/J53),"",J55/J53)</f>
        <v/>
      </c>
      <c r="L55" s="247">
        <f t="shared" si="30"/>
        <v>0</v>
      </c>
      <c r="M55" s="279" t="str">
        <f>IF(ISERROR(L55/L53),"",L55/L53)</f>
        <v/>
      </c>
      <c r="N55" s="215">
        <f t="shared" si="31"/>
        <v>0</v>
      </c>
      <c r="O55" s="54" t="e">
        <f t="shared" si="32"/>
        <v>#VALUE!</v>
      </c>
      <c r="P55" s="47"/>
      <c r="Q55" s="248"/>
      <c r="R55" s="279" t="str">
        <f>IF(ISERROR(Q55/Q53),"",Q55/Q53)</f>
        <v/>
      </c>
      <c r="S55" s="381"/>
      <c r="T55" s="382" t="str">
        <f>IF(ISERROR(S55/S53),"",S55/S53)</f>
        <v/>
      </c>
      <c r="U55" s="381">
        <f t="shared" si="33"/>
        <v>0</v>
      </c>
      <c r="V55" s="121"/>
      <c r="W55" s="248"/>
      <c r="X55" s="279" t="str">
        <f>IF(ISERROR(W55/W53),"",W55/W53)</f>
        <v/>
      </c>
      <c r="Y55" s="381"/>
      <c r="Z55" s="382" t="str">
        <f>IF(ISERROR(Y55/Y53),"",Y55/Y53)</f>
        <v/>
      </c>
      <c r="AA55" s="381">
        <f t="shared" si="5"/>
        <v>0</v>
      </c>
      <c r="AB55" s="121"/>
      <c r="AC55" s="248"/>
      <c r="AD55" s="279" t="str">
        <f>IF(ISERROR(AC55/AC53),"",AC55/AC53)</f>
        <v/>
      </c>
      <c r="AE55" s="381"/>
      <c r="AF55" s="382" t="str">
        <f>IF(ISERROR(AE55/AE53),"",AE55/AE53)</f>
        <v/>
      </c>
      <c r="AG55" s="381">
        <f t="shared" si="6"/>
        <v>0</v>
      </c>
      <c r="AH55" s="120" t="e">
        <f t="shared" si="34"/>
        <v>#VALUE!</v>
      </c>
      <c r="AI55" s="246">
        <f t="shared" si="35"/>
        <v>0</v>
      </c>
      <c r="AJ55" s="279" t="str">
        <f>IF(ISERROR(AI55/AI53),"",AI55/AI53)</f>
        <v/>
      </c>
      <c r="AK55" s="247">
        <f t="shared" si="36"/>
        <v>0</v>
      </c>
      <c r="AL55" s="279" t="str">
        <f>IF(ISERROR(AK55/AK53),"",AK55/AK53)</f>
        <v/>
      </c>
      <c r="AM55" s="247">
        <f t="shared" si="37"/>
        <v>0</v>
      </c>
      <c r="AN55" s="121"/>
      <c r="AO55" s="99"/>
      <c r="AP55" s="248"/>
      <c r="AQ55" s="279" t="str">
        <f>IF(ISERROR(AP55/AP53),"",AP55/AP53)</f>
        <v/>
      </c>
      <c r="AR55" s="381"/>
      <c r="AS55" s="382" t="str">
        <f>IF(ISERROR(AR55/AR53),"",AR55/AR53)</f>
        <v/>
      </c>
      <c r="AT55" s="381">
        <f t="shared" si="11"/>
        <v>0</v>
      </c>
      <c r="AU55" s="121"/>
      <c r="AV55" s="248"/>
      <c r="AW55" s="279" t="str">
        <f>IF(ISERROR(AV55/AV53),"",AV55/AV53)</f>
        <v/>
      </c>
      <c r="AX55" s="381"/>
      <c r="AY55" s="382" t="str">
        <f>IF(ISERROR(AX55/AX53),"",AX55/AX53)</f>
        <v/>
      </c>
      <c r="AZ55" s="381">
        <f t="shared" si="12"/>
        <v>0</v>
      </c>
      <c r="BA55" s="121"/>
      <c r="BB55" s="248"/>
      <c r="BC55" s="279" t="str">
        <f>IF(ISERROR(BB55/BB53),"",BB55/BB53)</f>
        <v/>
      </c>
      <c r="BD55" s="381"/>
      <c r="BE55" s="382" t="str">
        <f>IF(ISERROR(BD55/BD53),"",BD55/BD53)</f>
        <v/>
      </c>
      <c r="BF55" s="381">
        <f t="shared" si="13"/>
        <v>0</v>
      </c>
      <c r="BG55" s="121"/>
      <c r="BH55" s="246">
        <f t="shared" si="38"/>
        <v>0</v>
      </c>
      <c r="BI55" s="279" t="str">
        <f>IF(ISERROR(BH55/BH53),"",BH55/BH53)</f>
        <v/>
      </c>
      <c r="BJ55" s="247">
        <f t="shared" si="39"/>
        <v>0</v>
      </c>
      <c r="BK55" s="279" t="str">
        <f>IF(ISERROR(BJ55/BJ53),"",BJ55/BJ53)</f>
        <v/>
      </c>
      <c r="BL55" s="247">
        <f t="shared" si="40"/>
        <v>0</v>
      </c>
      <c r="BM55" s="121"/>
      <c r="BN55" s="99"/>
      <c r="BO55" s="248"/>
      <c r="BP55" s="279" t="str">
        <f>IF(ISERROR(BO55/BO53),"",BO55/BO53)</f>
        <v/>
      </c>
      <c r="BQ55" s="381"/>
      <c r="BR55" s="382" t="str">
        <f>IF(ISERROR(BQ55/BQ53),"",BQ55/BQ53)</f>
        <v/>
      </c>
      <c r="BS55" s="381">
        <f t="shared" si="17"/>
        <v>0</v>
      </c>
      <c r="BT55" s="121"/>
      <c r="BU55" s="248"/>
      <c r="BV55" s="279" t="str">
        <f>IF(ISERROR(BU55/BU53),"",BU55/BU53)</f>
        <v/>
      </c>
      <c r="BW55" s="381"/>
      <c r="BX55" s="382" t="str">
        <f>IF(ISERROR(BW55/BW53),"",BW55/BW53)</f>
        <v/>
      </c>
      <c r="BY55" s="381">
        <f t="shared" si="18"/>
        <v>0</v>
      </c>
      <c r="BZ55" s="121"/>
      <c r="CA55" s="248"/>
      <c r="CB55" s="279" t="str">
        <f>IF(ISERROR(CA55/CA53),"",CA55/CA53)</f>
        <v/>
      </c>
      <c r="CC55" s="381"/>
      <c r="CD55" s="382" t="str">
        <f>IF(ISERROR(CC55/CC53),"",CC55/CC53)</f>
        <v/>
      </c>
      <c r="CE55" s="381">
        <f t="shared" si="19"/>
        <v>0</v>
      </c>
      <c r="CF55" s="121"/>
      <c r="CG55" s="246">
        <f t="shared" si="41"/>
        <v>0</v>
      </c>
      <c r="CH55" s="279" t="str">
        <f>IF(ISERROR(CG55/CG53),"",CG55/CG53)</f>
        <v/>
      </c>
      <c r="CI55" s="247">
        <f t="shared" si="42"/>
        <v>0</v>
      </c>
      <c r="CJ55" s="279" t="str">
        <f>IF(ISERROR(CI55/CI53),"",CI55/CI53)</f>
        <v/>
      </c>
      <c r="CK55" s="247">
        <f t="shared" si="43"/>
        <v>0</v>
      </c>
      <c r="CL55" s="121"/>
      <c r="CM55" s="100"/>
      <c r="CN55" s="248"/>
      <c r="CO55" s="279" t="str">
        <f>IF(ISERROR(CN55/CN53),"",CN55/CN53)</f>
        <v/>
      </c>
      <c r="CP55" s="381"/>
      <c r="CQ55" s="382" t="str">
        <f>IF(ISERROR(CP55/CP53),"",CP55/CP53)</f>
        <v/>
      </c>
      <c r="CR55" s="381">
        <f t="shared" si="23"/>
        <v>0</v>
      </c>
      <c r="CS55" s="121"/>
      <c r="CT55" s="248"/>
      <c r="CU55" s="279" t="str">
        <f>IF(ISERROR(CT55/CT53),"",CT55/CT53)</f>
        <v/>
      </c>
      <c r="CV55" s="381"/>
      <c r="CW55" s="382" t="str">
        <f>IF(ISERROR(CV55/CV53),"",CV55/CV53)</f>
        <v/>
      </c>
      <c r="CX55" s="381">
        <f t="shared" si="24"/>
        <v>0</v>
      </c>
      <c r="CY55" s="121"/>
      <c r="CZ55" s="248"/>
      <c r="DA55" s="279" t="str">
        <f>IF(ISERROR(CZ55/CZ53),"",CZ55/CZ53)</f>
        <v/>
      </c>
      <c r="DB55" s="381"/>
      <c r="DC55" s="382" t="str">
        <f>IF(ISERROR(DB55/DB53),"",DB55/DB53)</f>
        <v/>
      </c>
      <c r="DD55" s="381">
        <f t="shared" si="25"/>
        <v>0</v>
      </c>
      <c r="DE55" s="121"/>
      <c r="DF55" s="246">
        <f t="shared" si="44"/>
        <v>0</v>
      </c>
      <c r="DG55" s="279" t="str">
        <f>IF(ISERROR(DF55/DF53),"",DF55/DF53)</f>
        <v/>
      </c>
      <c r="DH55" s="247">
        <f t="shared" si="45"/>
        <v>0</v>
      </c>
      <c r="DI55" s="279" t="str">
        <f>IF(ISERROR(DH55/DH53),"",DH55/DH53)</f>
        <v/>
      </c>
      <c r="DJ55" s="247">
        <f t="shared" si="46"/>
        <v>0</v>
      </c>
      <c r="DK55" s="16"/>
    </row>
    <row r="56" spans="1:115" s="3" customFormat="1" ht="21.75" customHeight="1" outlineLevel="1" thickTop="1" thickBot="1" x14ac:dyDescent="0.3">
      <c r="A56" s="80">
        <v>47</v>
      </c>
      <c r="B56" s="618"/>
      <c r="C56" s="761"/>
      <c r="D56" s="632"/>
      <c r="E56" s="679" t="s">
        <v>73</v>
      </c>
      <c r="F56" s="680"/>
      <c r="G56" s="680"/>
      <c r="H56" s="680"/>
      <c r="I56" s="681"/>
      <c r="J56" s="248">
        <f t="shared" si="29"/>
        <v>0</v>
      </c>
      <c r="K56" s="280" t="str">
        <f>IF(ISERROR(J56/J53),"",J56/J53)</f>
        <v/>
      </c>
      <c r="L56" s="249">
        <f t="shared" si="30"/>
        <v>0</v>
      </c>
      <c r="M56" s="280" t="str">
        <f>IF(ISERROR(L56/L53),"",L56/L53)</f>
        <v/>
      </c>
      <c r="N56" s="216">
        <f t="shared" si="31"/>
        <v>0</v>
      </c>
      <c r="O56" s="55" t="e">
        <f t="shared" si="32"/>
        <v>#VALUE!</v>
      </c>
      <c r="P56" s="47"/>
      <c r="Q56" s="519"/>
      <c r="R56" s="527" t="str">
        <f>IF(ISERROR(Q56/Q53),"",Q56/Q53)</f>
        <v/>
      </c>
      <c r="S56" s="387"/>
      <c r="T56" s="388" t="str">
        <f>IF(ISERROR(S56/S53),"",S56/S53)</f>
        <v/>
      </c>
      <c r="U56" s="387">
        <f t="shared" si="33"/>
        <v>0</v>
      </c>
      <c r="V56" s="123"/>
      <c r="W56" s="519"/>
      <c r="X56" s="527" t="str">
        <f>IF(ISERROR(W56/W53),"",W56/W53)</f>
        <v/>
      </c>
      <c r="Y56" s="387"/>
      <c r="Z56" s="388" t="str">
        <f>IF(ISERROR(Y56/Y53),"",Y56/Y53)</f>
        <v/>
      </c>
      <c r="AA56" s="387">
        <f t="shared" si="5"/>
        <v>0</v>
      </c>
      <c r="AB56" s="123"/>
      <c r="AC56" s="519"/>
      <c r="AD56" s="527" t="str">
        <f>IF(ISERROR(AC56/AC53),"",AC56/AC53)</f>
        <v/>
      </c>
      <c r="AE56" s="387"/>
      <c r="AF56" s="388" t="str">
        <f>IF(ISERROR(AE56/AE53),"",AE56/AE53)</f>
        <v/>
      </c>
      <c r="AG56" s="387">
        <f t="shared" si="6"/>
        <v>0</v>
      </c>
      <c r="AH56" s="122" t="e">
        <f t="shared" si="34"/>
        <v>#VALUE!</v>
      </c>
      <c r="AI56" s="248">
        <f t="shared" si="35"/>
        <v>0</v>
      </c>
      <c r="AJ56" s="280" t="str">
        <f>IF(ISERROR(AI56/AI53),"",AI56/AI53)</f>
        <v/>
      </c>
      <c r="AK56" s="249">
        <f t="shared" si="36"/>
        <v>0</v>
      </c>
      <c r="AL56" s="280" t="str">
        <f>IF(ISERROR(AK56/AK53),"",AK56/AK53)</f>
        <v/>
      </c>
      <c r="AM56" s="249">
        <f t="shared" si="37"/>
        <v>0</v>
      </c>
      <c r="AN56" s="123"/>
      <c r="AO56" s="99"/>
      <c r="AP56" s="519"/>
      <c r="AQ56" s="527" t="str">
        <f>IF(ISERROR(AP56/AP53),"",AP56/AP53)</f>
        <v/>
      </c>
      <c r="AR56" s="387"/>
      <c r="AS56" s="388" t="str">
        <f>IF(ISERROR(AR56/AR53),"",AR56/AR53)</f>
        <v/>
      </c>
      <c r="AT56" s="387">
        <f t="shared" si="11"/>
        <v>0</v>
      </c>
      <c r="AU56" s="123"/>
      <c r="AV56" s="519"/>
      <c r="AW56" s="527" t="str">
        <f>IF(ISERROR(AV56/AV53),"",AV56/AV53)</f>
        <v/>
      </c>
      <c r="AX56" s="387"/>
      <c r="AY56" s="388" t="str">
        <f>IF(ISERROR(AX56/AX53),"",AX56/AX53)</f>
        <v/>
      </c>
      <c r="AZ56" s="387">
        <f t="shared" si="12"/>
        <v>0</v>
      </c>
      <c r="BA56" s="123"/>
      <c r="BB56" s="519"/>
      <c r="BC56" s="527" t="str">
        <f>IF(ISERROR(BB56/BB53),"",BB56/BB53)</f>
        <v/>
      </c>
      <c r="BD56" s="387"/>
      <c r="BE56" s="388" t="str">
        <f>IF(ISERROR(BD56/BD53),"",BD56/BD53)</f>
        <v/>
      </c>
      <c r="BF56" s="387">
        <f t="shared" si="13"/>
        <v>0</v>
      </c>
      <c r="BG56" s="123"/>
      <c r="BH56" s="248">
        <f t="shared" si="38"/>
        <v>0</v>
      </c>
      <c r="BI56" s="280" t="str">
        <f>IF(ISERROR(BH56/BH53),"",BH56/BH53)</f>
        <v/>
      </c>
      <c r="BJ56" s="249">
        <f t="shared" si="39"/>
        <v>0</v>
      </c>
      <c r="BK56" s="280" t="str">
        <f>IF(ISERROR(BJ56/BJ53),"",BJ56/BJ53)</f>
        <v/>
      </c>
      <c r="BL56" s="249">
        <f t="shared" si="40"/>
        <v>0</v>
      </c>
      <c r="BM56" s="123"/>
      <c r="BN56" s="99"/>
      <c r="BO56" s="519"/>
      <c r="BP56" s="527" t="str">
        <f>IF(ISERROR(BO56/BO53),"",BO56/BO53)</f>
        <v/>
      </c>
      <c r="BQ56" s="387"/>
      <c r="BR56" s="388" t="str">
        <f>IF(ISERROR(BQ56/BQ53),"",BQ56/BQ53)</f>
        <v/>
      </c>
      <c r="BS56" s="387">
        <f t="shared" si="17"/>
        <v>0</v>
      </c>
      <c r="BT56" s="123"/>
      <c r="BU56" s="519"/>
      <c r="BV56" s="527" t="str">
        <f>IF(ISERROR(BU56/BU53),"",BU56/BU53)</f>
        <v/>
      </c>
      <c r="BW56" s="387"/>
      <c r="BX56" s="388" t="str">
        <f>IF(ISERROR(BW56/BW53),"",BW56/BW53)</f>
        <v/>
      </c>
      <c r="BY56" s="387">
        <f t="shared" si="18"/>
        <v>0</v>
      </c>
      <c r="BZ56" s="123"/>
      <c r="CA56" s="519"/>
      <c r="CB56" s="527" t="str">
        <f>IF(ISERROR(CA56/CA53),"",CA56/CA53)</f>
        <v/>
      </c>
      <c r="CC56" s="387"/>
      <c r="CD56" s="388" t="str">
        <f>IF(ISERROR(CC56/CC53),"",CC56/CC53)</f>
        <v/>
      </c>
      <c r="CE56" s="387">
        <f t="shared" si="19"/>
        <v>0</v>
      </c>
      <c r="CF56" s="123"/>
      <c r="CG56" s="248">
        <f t="shared" si="41"/>
        <v>0</v>
      </c>
      <c r="CH56" s="280" t="str">
        <f>IF(ISERROR(CG56/CG53),"",CG56/CG53)</f>
        <v/>
      </c>
      <c r="CI56" s="249">
        <f t="shared" si="42"/>
        <v>0</v>
      </c>
      <c r="CJ56" s="280" t="str">
        <f>IF(ISERROR(CI56/CI53),"",CI56/CI53)</f>
        <v/>
      </c>
      <c r="CK56" s="249">
        <f t="shared" si="43"/>
        <v>0</v>
      </c>
      <c r="CL56" s="123"/>
      <c r="CM56" s="100"/>
      <c r="CN56" s="519"/>
      <c r="CO56" s="527" t="str">
        <f>IF(ISERROR(CN56/CN53),"",CN56/CN53)</f>
        <v/>
      </c>
      <c r="CP56" s="387"/>
      <c r="CQ56" s="388" t="str">
        <f>IF(ISERROR(CP56/CP53),"",CP56/CP53)</f>
        <v/>
      </c>
      <c r="CR56" s="387">
        <f t="shared" si="23"/>
        <v>0</v>
      </c>
      <c r="CS56" s="123"/>
      <c r="CT56" s="519"/>
      <c r="CU56" s="527" t="str">
        <f>IF(ISERROR(CT56/CT53),"",CT56/CT53)</f>
        <v/>
      </c>
      <c r="CV56" s="387"/>
      <c r="CW56" s="388" t="str">
        <f>IF(ISERROR(CV56/CV53),"",CV56/CV53)</f>
        <v/>
      </c>
      <c r="CX56" s="387">
        <f t="shared" si="24"/>
        <v>0</v>
      </c>
      <c r="CY56" s="123"/>
      <c r="CZ56" s="519"/>
      <c r="DA56" s="527" t="str">
        <f>IF(ISERROR(CZ56/CZ53),"",CZ56/CZ53)</f>
        <v/>
      </c>
      <c r="DB56" s="387"/>
      <c r="DC56" s="388" t="str">
        <f>IF(ISERROR(DB56/DB53),"",DB56/DB53)</f>
        <v/>
      </c>
      <c r="DD56" s="387">
        <f t="shared" si="25"/>
        <v>0</v>
      </c>
      <c r="DE56" s="123"/>
      <c r="DF56" s="248">
        <f t="shared" si="44"/>
        <v>0</v>
      </c>
      <c r="DG56" s="280" t="str">
        <f>IF(ISERROR(DF56/DF53),"",DF56/DF53)</f>
        <v/>
      </c>
      <c r="DH56" s="249">
        <f t="shared" si="45"/>
        <v>0</v>
      </c>
      <c r="DI56" s="280" t="str">
        <f>IF(ISERROR(DH56/DH53),"",DH56/DH53)</f>
        <v/>
      </c>
      <c r="DJ56" s="249">
        <f t="shared" si="46"/>
        <v>0</v>
      </c>
      <c r="DK56" s="17"/>
    </row>
    <row r="57" spans="1:115" s="3" customFormat="1" ht="21.75" customHeight="1" outlineLevel="1" thickTop="1" thickBot="1" x14ac:dyDescent="0.3">
      <c r="A57" s="80">
        <v>48</v>
      </c>
      <c r="B57" s="618"/>
      <c r="C57" s="761"/>
      <c r="D57" s="632"/>
      <c r="E57" s="667" t="s">
        <v>74</v>
      </c>
      <c r="F57" s="668"/>
      <c r="G57" s="668"/>
      <c r="H57" s="668"/>
      <c r="I57" s="669"/>
      <c r="J57" s="238">
        <f t="shared" si="29"/>
        <v>0</v>
      </c>
      <c r="K57" s="278" t="str">
        <f>IF(ISERROR(J57/J53),"",J57/J53)</f>
        <v/>
      </c>
      <c r="L57" s="239">
        <f t="shared" si="30"/>
        <v>0</v>
      </c>
      <c r="M57" s="278" t="str">
        <f>IF(ISERROR(L57/L53),"",L57/L53)</f>
        <v/>
      </c>
      <c r="N57" s="211">
        <f t="shared" si="31"/>
        <v>0</v>
      </c>
      <c r="O57" s="50" t="e">
        <f t="shared" si="32"/>
        <v>#VALUE!</v>
      </c>
      <c r="P57" s="47"/>
      <c r="Q57" s="528">
        <f>Q54-Q56</f>
        <v>0</v>
      </c>
      <c r="R57" s="301" t="str">
        <f>IF(ISERROR(Q57/Q53),"",Q57/Q53)</f>
        <v/>
      </c>
      <c r="S57" s="373">
        <f>S54-S56</f>
        <v>0</v>
      </c>
      <c r="T57" s="374" t="str">
        <f>IF(ISERROR(S57/S53),"",S57/S53)</f>
        <v/>
      </c>
      <c r="U57" s="373">
        <f t="shared" si="33"/>
        <v>0</v>
      </c>
      <c r="V57" s="113"/>
      <c r="W57" s="528">
        <f>W54-W56</f>
        <v>0</v>
      </c>
      <c r="X57" s="301" t="str">
        <f>IF(ISERROR(W57/W53),"",W57/W53)</f>
        <v/>
      </c>
      <c r="Y57" s="373">
        <f>Y54-Y56</f>
        <v>0</v>
      </c>
      <c r="Z57" s="374" t="str">
        <f>IF(ISERROR(Y57/Y53),"",Y57/Y53)</f>
        <v/>
      </c>
      <c r="AA57" s="373">
        <f t="shared" si="5"/>
        <v>0</v>
      </c>
      <c r="AB57" s="113"/>
      <c r="AC57" s="528">
        <f>AC54-AC56</f>
        <v>0</v>
      </c>
      <c r="AD57" s="301" t="str">
        <f>IF(ISERROR(AC57/AC53),"",AC57/AC53)</f>
        <v/>
      </c>
      <c r="AE57" s="373">
        <f>AE54-AE56</f>
        <v>0</v>
      </c>
      <c r="AF57" s="374" t="str">
        <f>IF(ISERROR(AE57/AE53),"",AE57/AE53)</f>
        <v/>
      </c>
      <c r="AG57" s="373">
        <f t="shared" si="6"/>
        <v>0</v>
      </c>
      <c r="AH57" s="112" t="e">
        <f t="shared" si="34"/>
        <v>#VALUE!</v>
      </c>
      <c r="AI57" s="238">
        <f t="shared" si="35"/>
        <v>0</v>
      </c>
      <c r="AJ57" s="278" t="str">
        <f>IF(ISERROR(AI57/AI53),"",AI57/AI53)</f>
        <v/>
      </c>
      <c r="AK57" s="239">
        <f t="shared" si="36"/>
        <v>0</v>
      </c>
      <c r="AL57" s="278" t="str">
        <f>IF(ISERROR(AK57/AK53),"",AK57/AK53)</f>
        <v/>
      </c>
      <c r="AM57" s="239">
        <f t="shared" si="37"/>
        <v>0</v>
      </c>
      <c r="AN57" s="113"/>
      <c r="AO57" s="99"/>
      <c r="AP57" s="528">
        <f>AP54-AP56</f>
        <v>0</v>
      </c>
      <c r="AQ57" s="301" t="str">
        <f>IF(ISERROR(AP57/AP53),"",AP57/AP53)</f>
        <v/>
      </c>
      <c r="AR57" s="373">
        <f>AR54-AR56</f>
        <v>0</v>
      </c>
      <c r="AS57" s="374" t="str">
        <f>IF(ISERROR(AR57/AR53),"",AR57/AR53)</f>
        <v/>
      </c>
      <c r="AT57" s="373">
        <f t="shared" si="11"/>
        <v>0</v>
      </c>
      <c r="AU57" s="113"/>
      <c r="AV57" s="528">
        <f>AV54-AV56</f>
        <v>0</v>
      </c>
      <c r="AW57" s="301" t="str">
        <f>IF(ISERROR(AV57/AV53),"",AV57/AV53)</f>
        <v/>
      </c>
      <c r="AX57" s="373">
        <f>AX54-AX56</f>
        <v>0</v>
      </c>
      <c r="AY57" s="374" t="str">
        <f>IF(ISERROR(AX57/AX53),"",AX57/AX53)</f>
        <v/>
      </c>
      <c r="AZ57" s="373">
        <f t="shared" si="12"/>
        <v>0</v>
      </c>
      <c r="BA57" s="113"/>
      <c r="BB57" s="528">
        <f>BB54-BB56</f>
        <v>0</v>
      </c>
      <c r="BC57" s="301" t="str">
        <f>IF(ISERROR(BB57/BB53),"",BB57/BB53)</f>
        <v/>
      </c>
      <c r="BD57" s="373">
        <f>BD54-BD56</f>
        <v>0</v>
      </c>
      <c r="BE57" s="374" t="str">
        <f>IF(ISERROR(BD57/BD53),"",BD57/BD53)</f>
        <v/>
      </c>
      <c r="BF57" s="373">
        <f t="shared" si="13"/>
        <v>0</v>
      </c>
      <c r="BG57" s="113"/>
      <c r="BH57" s="238">
        <f t="shared" si="38"/>
        <v>0</v>
      </c>
      <c r="BI57" s="278" t="str">
        <f>IF(ISERROR(BH57/BH53),"",BH57/BH53)</f>
        <v/>
      </c>
      <c r="BJ57" s="239">
        <f t="shared" si="39"/>
        <v>0</v>
      </c>
      <c r="BK57" s="278" t="str">
        <f>IF(ISERROR(BJ57/BJ53),"",BJ57/BJ53)</f>
        <v/>
      </c>
      <c r="BL57" s="239">
        <f t="shared" si="40"/>
        <v>0</v>
      </c>
      <c r="BM57" s="113"/>
      <c r="BN57" s="99"/>
      <c r="BO57" s="528">
        <f>BO54-BO56</f>
        <v>0</v>
      </c>
      <c r="BP57" s="301" t="str">
        <f>IF(ISERROR(BO57/BO53),"",BO57/BO53)</f>
        <v/>
      </c>
      <c r="BQ57" s="373">
        <f>BQ54-BQ56</f>
        <v>0</v>
      </c>
      <c r="BR57" s="374" t="str">
        <f>IF(ISERROR(BQ57/BQ53),"",BQ57/BQ53)</f>
        <v/>
      </c>
      <c r="BS57" s="373">
        <f t="shared" si="17"/>
        <v>0</v>
      </c>
      <c r="BT57" s="113"/>
      <c r="BU57" s="528">
        <f>BU54-BU56</f>
        <v>0</v>
      </c>
      <c r="BV57" s="301" t="str">
        <f>IF(ISERROR(BU57/BU53),"",BU57/BU53)</f>
        <v/>
      </c>
      <c r="BW57" s="373">
        <f>BW54-BW56</f>
        <v>0</v>
      </c>
      <c r="BX57" s="374" t="str">
        <f>IF(ISERROR(BW57/BW53),"",BW57/BW53)</f>
        <v/>
      </c>
      <c r="BY57" s="373">
        <f t="shared" si="18"/>
        <v>0</v>
      </c>
      <c r="BZ57" s="113"/>
      <c r="CA57" s="528">
        <f>CA54-CA56</f>
        <v>0</v>
      </c>
      <c r="CB57" s="301" t="str">
        <f>IF(ISERROR(CA57/CA53),"",CA57/CA53)</f>
        <v/>
      </c>
      <c r="CC57" s="373">
        <f>CC54-CC56</f>
        <v>0</v>
      </c>
      <c r="CD57" s="374" t="str">
        <f>IF(ISERROR(CC57/CC53),"",CC57/CC53)</f>
        <v/>
      </c>
      <c r="CE57" s="373">
        <f t="shared" si="19"/>
        <v>0</v>
      </c>
      <c r="CF57" s="113"/>
      <c r="CG57" s="238">
        <f t="shared" si="41"/>
        <v>0</v>
      </c>
      <c r="CH57" s="278" t="str">
        <f>IF(ISERROR(CG57/CG53),"",CG57/CG53)</f>
        <v/>
      </c>
      <c r="CI57" s="239">
        <f t="shared" si="42"/>
        <v>0</v>
      </c>
      <c r="CJ57" s="278" t="str">
        <f>IF(ISERROR(CI57/CI53),"",CI57/CI53)</f>
        <v/>
      </c>
      <c r="CK57" s="239">
        <f t="shared" si="43"/>
        <v>0</v>
      </c>
      <c r="CL57" s="113"/>
      <c r="CM57" s="100"/>
      <c r="CN57" s="528">
        <f>CN54-CN56</f>
        <v>0</v>
      </c>
      <c r="CO57" s="301" t="str">
        <f>IF(ISERROR(CN57/CN53),"",CN57/CN53)</f>
        <v/>
      </c>
      <c r="CP57" s="373">
        <f>CP54-CP56</f>
        <v>0</v>
      </c>
      <c r="CQ57" s="374" t="str">
        <f>IF(ISERROR(CP57/CP53),"",CP57/CP53)</f>
        <v/>
      </c>
      <c r="CR57" s="373">
        <f t="shared" si="23"/>
        <v>0</v>
      </c>
      <c r="CS57" s="113"/>
      <c r="CT57" s="528">
        <f>CT54-CT56</f>
        <v>0</v>
      </c>
      <c r="CU57" s="301" t="str">
        <f>IF(ISERROR(CT57/CT53),"",CT57/CT53)</f>
        <v/>
      </c>
      <c r="CV57" s="373">
        <f>CV54-CV56</f>
        <v>0</v>
      </c>
      <c r="CW57" s="374" t="str">
        <f>IF(ISERROR(CV57/CV53),"",CV57/CV53)</f>
        <v/>
      </c>
      <c r="CX57" s="373">
        <f t="shared" si="24"/>
        <v>0</v>
      </c>
      <c r="CY57" s="113"/>
      <c r="CZ57" s="528">
        <f>CZ54-CZ56</f>
        <v>0</v>
      </c>
      <c r="DA57" s="301" t="str">
        <f>IF(ISERROR(CZ57/CZ53),"",CZ57/CZ53)</f>
        <v/>
      </c>
      <c r="DB57" s="373">
        <f>DB54-DB56</f>
        <v>0</v>
      </c>
      <c r="DC57" s="374" t="str">
        <f>IF(ISERROR(DB57/DB53),"",DB57/DB53)</f>
        <v/>
      </c>
      <c r="DD57" s="373">
        <f t="shared" si="25"/>
        <v>0</v>
      </c>
      <c r="DE57" s="113"/>
      <c r="DF57" s="238">
        <f t="shared" si="44"/>
        <v>0</v>
      </c>
      <c r="DG57" s="278" t="str">
        <f>IF(ISERROR(DF57/DF53),"",DF57/DF53)</f>
        <v/>
      </c>
      <c r="DH57" s="239">
        <f t="shared" si="45"/>
        <v>0</v>
      </c>
      <c r="DI57" s="278" t="str">
        <f>IF(ISERROR(DH57/DH53),"",DH57/DH53)</f>
        <v/>
      </c>
      <c r="DJ57" s="239">
        <f t="shared" si="46"/>
        <v>0</v>
      </c>
      <c r="DK57" s="12"/>
    </row>
    <row r="58" spans="1:115" s="3" customFormat="1" ht="21.75" customHeight="1" outlineLevel="1" thickTop="1" x14ac:dyDescent="0.25">
      <c r="A58" s="80">
        <v>49</v>
      </c>
      <c r="B58" s="618"/>
      <c r="C58" s="761"/>
      <c r="D58" s="632"/>
      <c r="E58" s="646" t="s">
        <v>50</v>
      </c>
      <c r="F58" s="670" t="s">
        <v>51</v>
      </c>
      <c r="G58" s="671"/>
      <c r="H58" s="671"/>
      <c r="I58" s="672"/>
      <c r="J58" s="228">
        <f t="shared" si="29"/>
        <v>0</v>
      </c>
      <c r="K58" s="295" t="str">
        <f>IF(ISERROR(J58/J53),"",J58/J53)</f>
        <v/>
      </c>
      <c r="L58" s="229">
        <f t="shared" si="30"/>
        <v>0</v>
      </c>
      <c r="M58" s="295" t="str">
        <f>IF(ISERROR(L58/L53),"",L58/L53)</f>
        <v/>
      </c>
      <c r="N58" s="206">
        <f t="shared" si="31"/>
        <v>0</v>
      </c>
      <c r="O58" s="43" t="e">
        <f t="shared" si="32"/>
        <v>#VALUE!</v>
      </c>
      <c r="P58" s="47"/>
      <c r="Q58" s="512">
        <f>IF(ISERROR(R58*Q53),"",R58*Q53)</f>
        <v>0</v>
      </c>
      <c r="R58" s="520"/>
      <c r="S58" s="375"/>
      <c r="T58" s="356" t="str">
        <f>IF(ISERROR(S58/S53),"",S58/S53)</f>
        <v/>
      </c>
      <c r="U58" s="355">
        <f t="shared" si="33"/>
        <v>0</v>
      </c>
      <c r="V58" s="96"/>
      <c r="W58" s="512">
        <f>IF(ISERROR(X58*W53),"",X58*W53)</f>
        <v>0</v>
      </c>
      <c r="X58" s="520"/>
      <c r="Y58" s="375"/>
      <c r="Z58" s="356" t="str">
        <f>IF(ISERROR(Y58/Y53),"",Y58/Y53)</f>
        <v/>
      </c>
      <c r="AA58" s="355">
        <f t="shared" si="5"/>
        <v>0</v>
      </c>
      <c r="AB58" s="96"/>
      <c r="AC58" s="512">
        <f>IF(ISERROR(AD58*AC53),"",AD58*AC53)</f>
        <v>0</v>
      </c>
      <c r="AD58" s="520"/>
      <c r="AE58" s="375"/>
      <c r="AF58" s="356" t="str">
        <f>IF(ISERROR(AE58/AE53),"",AE58/AE53)</f>
        <v/>
      </c>
      <c r="AG58" s="355">
        <f t="shared" si="6"/>
        <v>0</v>
      </c>
      <c r="AH58" s="97" t="e">
        <f t="shared" si="34"/>
        <v>#VALUE!</v>
      </c>
      <c r="AI58" s="285">
        <f t="shared" si="35"/>
        <v>0</v>
      </c>
      <c r="AJ58" s="295" t="str">
        <f>IF(ISERROR(AI58/AI53),"",AI58/AI53)</f>
        <v/>
      </c>
      <c r="AK58" s="229">
        <f t="shared" si="36"/>
        <v>0</v>
      </c>
      <c r="AL58" s="295" t="str">
        <f>IF(ISERROR(AK58/AK53),"",AK58/AK53)</f>
        <v/>
      </c>
      <c r="AM58" s="229">
        <f t="shared" si="37"/>
        <v>0</v>
      </c>
      <c r="AN58" s="96"/>
      <c r="AO58" s="99"/>
      <c r="AP58" s="512">
        <f>IF(ISERROR(AQ58*AP53),"",AQ58*AP53)</f>
        <v>0</v>
      </c>
      <c r="AQ58" s="520"/>
      <c r="AR58" s="375"/>
      <c r="AS58" s="356" t="str">
        <f>IF(ISERROR(AR58/AR53),"",AR58/AR53)</f>
        <v/>
      </c>
      <c r="AT58" s="355">
        <f t="shared" si="11"/>
        <v>0</v>
      </c>
      <c r="AU58" s="96"/>
      <c r="AV58" s="512">
        <f>IF(ISERROR(AW58*AV53),"",AW58*AV53)</f>
        <v>0</v>
      </c>
      <c r="AW58" s="520"/>
      <c r="AX58" s="375"/>
      <c r="AY58" s="356" t="str">
        <f>IF(ISERROR(AX58/AX53),"",AX58/AX53)</f>
        <v/>
      </c>
      <c r="AZ58" s="355">
        <f t="shared" si="12"/>
        <v>0</v>
      </c>
      <c r="BA58" s="96"/>
      <c r="BB58" s="512">
        <f>IF(ISERROR(BC58*BB53),"",BC58*BB53)</f>
        <v>0</v>
      </c>
      <c r="BC58" s="520"/>
      <c r="BD58" s="375"/>
      <c r="BE58" s="356" t="str">
        <f>IF(ISERROR(BD58/BD53),"",BD58/BD53)</f>
        <v/>
      </c>
      <c r="BF58" s="355">
        <f t="shared" si="13"/>
        <v>0</v>
      </c>
      <c r="BG58" s="96"/>
      <c r="BH58" s="285">
        <f t="shared" si="38"/>
        <v>0</v>
      </c>
      <c r="BI58" s="295" t="str">
        <f>IF(ISERROR(BH58/BH53),"",BH58/BH53)</f>
        <v/>
      </c>
      <c r="BJ58" s="229">
        <f t="shared" si="39"/>
        <v>0</v>
      </c>
      <c r="BK58" s="295" t="str">
        <f>IF(ISERROR(BJ58/BJ53),"",BJ58/BJ53)</f>
        <v/>
      </c>
      <c r="BL58" s="229">
        <f t="shared" si="40"/>
        <v>0</v>
      </c>
      <c r="BM58" s="96"/>
      <c r="BN58" s="99"/>
      <c r="BO58" s="512">
        <f>IF(ISERROR(BP58*BO53),"",BP58*BO53)</f>
        <v>0</v>
      </c>
      <c r="BP58" s="520"/>
      <c r="BQ58" s="375"/>
      <c r="BR58" s="356" t="str">
        <f>IF(ISERROR(BQ58/BQ53),"",BQ58/BQ53)</f>
        <v/>
      </c>
      <c r="BS58" s="355">
        <f t="shared" si="17"/>
        <v>0</v>
      </c>
      <c r="BT58" s="96"/>
      <c r="BU58" s="512">
        <f>IF(ISERROR(BV58*BU53),"",BV58*BU53)</f>
        <v>0</v>
      </c>
      <c r="BV58" s="520"/>
      <c r="BW58" s="375"/>
      <c r="BX58" s="356" t="str">
        <f>IF(ISERROR(BW58/BW53),"",BW58/BW53)</f>
        <v/>
      </c>
      <c r="BY58" s="355">
        <f t="shared" si="18"/>
        <v>0</v>
      </c>
      <c r="BZ58" s="96"/>
      <c r="CA58" s="512">
        <f>IF(ISERROR(CB58*CA53),"",CB58*CA53)</f>
        <v>0</v>
      </c>
      <c r="CB58" s="520"/>
      <c r="CC58" s="375"/>
      <c r="CD58" s="356" t="str">
        <f>IF(ISERROR(CC58/CC53),"",CC58/CC53)</f>
        <v/>
      </c>
      <c r="CE58" s="355">
        <f t="shared" si="19"/>
        <v>0</v>
      </c>
      <c r="CF58" s="96"/>
      <c r="CG58" s="285">
        <f t="shared" si="41"/>
        <v>0</v>
      </c>
      <c r="CH58" s="295" t="str">
        <f>IF(ISERROR(CG58/CG53),"",CG58/CG53)</f>
        <v/>
      </c>
      <c r="CI58" s="229">
        <f t="shared" si="42"/>
        <v>0</v>
      </c>
      <c r="CJ58" s="295" t="str">
        <f>IF(ISERROR(CI58/CI53),"",CI58/CI53)</f>
        <v/>
      </c>
      <c r="CK58" s="229">
        <f t="shared" si="43"/>
        <v>0</v>
      </c>
      <c r="CL58" s="96"/>
      <c r="CM58" s="100"/>
      <c r="CN58" s="512">
        <f>IF(ISERROR(CO58*CN53),"",CO58*CN53)</f>
        <v>0</v>
      </c>
      <c r="CO58" s="520"/>
      <c r="CP58" s="375"/>
      <c r="CQ58" s="356" t="str">
        <f>IF(ISERROR(CP58/CP53),"",CP58/CP53)</f>
        <v/>
      </c>
      <c r="CR58" s="355">
        <f t="shared" si="23"/>
        <v>0</v>
      </c>
      <c r="CS58" s="96"/>
      <c r="CT58" s="512">
        <f>IF(ISERROR(CU58*CT53),"",CU58*CT53)</f>
        <v>0</v>
      </c>
      <c r="CU58" s="520"/>
      <c r="CV58" s="375"/>
      <c r="CW58" s="356" t="str">
        <f>IF(ISERROR(CV58/CV53),"",CV58/CV53)</f>
        <v/>
      </c>
      <c r="CX58" s="355">
        <f t="shared" si="24"/>
        <v>0</v>
      </c>
      <c r="CY58" s="96"/>
      <c r="CZ58" s="512">
        <f>IF(ISERROR(DA58*CZ53),"",DA58*CZ53)</f>
        <v>0</v>
      </c>
      <c r="DA58" s="520"/>
      <c r="DB58" s="375"/>
      <c r="DC58" s="356" t="str">
        <f>IF(ISERROR(DB58/DB53),"",DB58/DB53)</f>
        <v/>
      </c>
      <c r="DD58" s="355">
        <f t="shared" si="25"/>
        <v>0</v>
      </c>
      <c r="DE58" s="96"/>
      <c r="DF58" s="285">
        <f t="shared" si="44"/>
        <v>0</v>
      </c>
      <c r="DG58" s="295" t="str">
        <f>IF(ISERROR(DF58/DF53),"",DF58/DF53)</f>
        <v/>
      </c>
      <c r="DH58" s="229">
        <f t="shared" si="45"/>
        <v>0</v>
      </c>
      <c r="DI58" s="295" t="str">
        <f>IF(ISERROR(DH58/DH53),"",DH58/DH53)</f>
        <v/>
      </c>
      <c r="DJ58" s="229">
        <f t="shared" si="46"/>
        <v>0</v>
      </c>
      <c r="DK58" s="7"/>
    </row>
    <row r="59" spans="1:115" s="3" customFormat="1" ht="21.75" customHeight="1" outlineLevel="1" x14ac:dyDescent="0.25">
      <c r="A59" s="80">
        <v>50</v>
      </c>
      <c r="B59" s="618"/>
      <c r="C59" s="761"/>
      <c r="D59" s="632"/>
      <c r="E59" s="647"/>
      <c r="F59" s="673" t="s">
        <v>52</v>
      </c>
      <c r="G59" s="674"/>
      <c r="H59" s="674"/>
      <c r="I59" s="675"/>
      <c r="J59" s="230">
        <f t="shared" si="29"/>
        <v>0</v>
      </c>
      <c r="K59" s="296" t="str">
        <f>IF(ISERROR(J59/J53),"",J59/J53)</f>
        <v/>
      </c>
      <c r="L59" s="231">
        <f t="shared" si="30"/>
        <v>0</v>
      </c>
      <c r="M59" s="296" t="str">
        <f>IF(ISERROR(L59/L53),"",L59/L53)</f>
        <v/>
      </c>
      <c r="N59" s="207">
        <f t="shared" si="31"/>
        <v>0</v>
      </c>
      <c r="O59" s="45" t="e">
        <f t="shared" si="32"/>
        <v>#VALUE!</v>
      </c>
      <c r="P59" s="47"/>
      <c r="Q59" s="529">
        <f>IF(ISERROR(R59*Q53),"",R59*Q53)</f>
        <v>0</v>
      </c>
      <c r="R59" s="521"/>
      <c r="S59" s="371"/>
      <c r="T59" s="359" t="str">
        <f>IF(ISERROR(S59/S53),"",S59/S53)</f>
        <v/>
      </c>
      <c r="U59" s="358">
        <f t="shared" si="33"/>
        <v>0</v>
      </c>
      <c r="V59" s="102"/>
      <c r="W59" s="529">
        <f>IF(ISERROR(X59*W53),"",X59*W53)</f>
        <v>0</v>
      </c>
      <c r="X59" s="521"/>
      <c r="Y59" s="371"/>
      <c r="Z59" s="359" t="str">
        <f>IF(ISERROR(Y59/Y53),"",Y59/Y53)</f>
        <v/>
      </c>
      <c r="AA59" s="358">
        <f t="shared" si="5"/>
        <v>0</v>
      </c>
      <c r="AB59" s="102"/>
      <c r="AC59" s="529">
        <f>IF(ISERROR(AD59*AC53),"",AD59*AC53)</f>
        <v>0</v>
      </c>
      <c r="AD59" s="521"/>
      <c r="AE59" s="371"/>
      <c r="AF59" s="359" t="str">
        <f>IF(ISERROR(AE59/AE53),"",AE59/AE53)</f>
        <v/>
      </c>
      <c r="AG59" s="358">
        <f t="shared" si="6"/>
        <v>0</v>
      </c>
      <c r="AH59" s="103" t="e">
        <f t="shared" si="34"/>
        <v>#VALUE!</v>
      </c>
      <c r="AI59" s="286">
        <f t="shared" si="35"/>
        <v>0</v>
      </c>
      <c r="AJ59" s="296" t="str">
        <f>IF(ISERROR(AI59/AI53),"",AI59/AI53)</f>
        <v/>
      </c>
      <c r="AK59" s="231">
        <f t="shared" si="36"/>
        <v>0</v>
      </c>
      <c r="AL59" s="296" t="str">
        <f>IF(ISERROR(AK59/AK53),"",AK59/AK53)</f>
        <v/>
      </c>
      <c r="AM59" s="231">
        <f t="shared" si="37"/>
        <v>0</v>
      </c>
      <c r="AN59" s="102"/>
      <c r="AO59" s="99"/>
      <c r="AP59" s="529">
        <f>IF(ISERROR(AQ59*AP53),"",AQ59*AP53)</f>
        <v>0</v>
      </c>
      <c r="AQ59" s="521"/>
      <c r="AR59" s="371"/>
      <c r="AS59" s="359" t="str">
        <f>IF(ISERROR(AR59/AR53),"",AR59/AR53)</f>
        <v/>
      </c>
      <c r="AT59" s="358">
        <f t="shared" si="11"/>
        <v>0</v>
      </c>
      <c r="AU59" s="102"/>
      <c r="AV59" s="529">
        <f>IF(ISERROR(AW59*AV53),"",AW59*AV53)</f>
        <v>0</v>
      </c>
      <c r="AW59" s="521"/>
      <c r="AX59" s="371"/>
      <c r="AY59" s="359" t="str">
        <f>IF(ISERROR(AX59/AX53),"",AX59/AX53)</f>
        <v/>
      </c>
      <c r="AZ59" s="358">
        <f t="shared" si="12"/>
        <v>0</v>
      </c>
      <c r="BA59" s="102"/>
      <c r="BB59" s="529">
        <f>IF(ISERROR(BC59*BB53),"",BC59*BB53)</f>
        <v>0</v>
      </c>
      <c r="BC59" s="521"/>
      <c r="BD59" s="371"/>
      <c r="BE59" s="359" t="str">
        <f>IF(ISERROR(BD59/BD53),"",BD59/BD53)</f>
        <v/>
      </c>
      <c r="BF59" s="358">
        <f t="shared" si="13"/>
        <v>0</v>
      </c>
      <c r="BG59" s="102"/>
      <c r="BH59" s="286">
        <f t="shared" si="38"/>
        <v>0</v>
      </c>
      <c r="BI59" s="296" t="str">
        <f>IF(ISERROR(BH59/BH53),"",BH59/BH53)</f>
        <v/>
      </c>
      <c r="BJ59" s="231">
        <f t="shared" si="39"/>
        <v>0</v>
      </c>
      <c r="BK59" s="296" t="str">
        <f>IF(ISERROR(BJ59/BJ53),"",BJ59/BJ53)</f>
        <v/>
      </c>
      <c r="BL59" s="231">
        <f t="shared" si="40"/>
        <v>0</v>
      </c>
      <c r="BM59" s="102"/>
      <c r="BN59" s="99"/>
      <c r="BO59" s="529">
        <f>IF(ISERROR(BP59*BO53),"",BP59*BO53)</f>
        <v>0</v>
      </c>
      <c r="BP59" s="521"/>
      <c r="BQ59" s="371"/>
      <c r="BR59" s="359" t="str">
        <f>IF(ISERROR(BQ59/BQ53),"",BQ59/BQ53)</f>
        <v/>
      </c>
      <c r="BS59" s="358">
        <f t="shared" si="17"/>
        <v>0</v>
      </c>
      <c r="BT59" s="102"/>
      <c r="BU59" s="529">
        <f>IF(ISERROR(BV59*BU53),"",BV59*BU53)</f>
        <v>0</v>
      </c>
      <c r="BV59" s="521"/>
      <c r="BW59" s="371"/>
      <c r="BX59" s="359" t="str">
        <f>IF(ISERROR(BW59/BW53),"",BW59/BW53)</f>
        <v/>
      </c>
      <c r="BY59" s="358">
        <f t="shared" si="18"/>
        <v>0</v>
      </c>
      <c r="BZ59" s="102"/>
      <c r="CA59" s="529">
        <f>IF(ISERROR(CB59*CA53),"",CB59*CA53)</f>
        <v>0</v>
      </c>
      <c r="CB59" s="521"/>
      <c r="CC59" s="371"/>
      <c r="CD59" s="359" t="str">
        <f>IF(ISERROR(CC59/CC53),"",CC59/CC53)</f>
        <v/>
      </c>
      <c r="CE59" s="358">
        <f t="shared" si="19"/>
        <v>0</v>
      </c>
      <c r="CF59" s="102"/>
      <c r="CG59" s="286">
        <f t="shared" si="41"/>
        <v>0</v>
      </c>
      <c r="CH59" s="296" t="str">
        <f>IF(ISERROR(CG59/CG53),"",CG59/CG53)</f>
        <v/>
      </c>
      <c r="CI59" s="231">
        <f t="shared" si="42"/>
        <v>0</v>
      </c>
      <c r="CJ59" s="296" t="str">
        <f>IF(ISERROR(CI59/CI53),"",CI59/CI53)</f>
        <v/>
      </c>
      <c r="CK59" s="231">
        <f t="shared" si="43"/>
        <v>0</v>
      </c>
      <c r="CL59" s="102"/>
      <c r="CM59" s="100"/>
      <c r="CN59" s="529">
        <f>IF(ISERROR(CO59*CN53),"",CO59*CN53)</f>
        <v>0</v>
      </c>
      <c r="CO59" s="521"/>
      <c r="CP59" s="371"/>
      <c r="CQ59" s="359" t="str">
        <f>IF(ISERROR(CP59/CP53),"",CP59/CP53)</f>
        <v/>
      </c>
      <c r="CR59" s="358">
        <f t="shared" si="23"/>
        <v>0</v>
      </c>
      <c r="CS59" s="102"/>
      <c r="CT59" s="529">
        <f>IF(ISERROR(CU59*CT53),"",CU59*CT53)</f>
        <v>0</v>
      </c>
      <c r="CU59" s="521"/>
      <c r="CV59" s="371"/>
      <c r="CW59" s="359" t="str">
        <f>IF(ISERROR(CV59/CV53),"",CV59/CV53)</f>
        <v/>
      </c>
      <c r="CX59" s="358">
        <f t="shared" si="24"/>
        <v>0</v>
      </c>
      <c r="CY59" s="102"/>
      <c r="CZ59" s="529">
        <f>IF(ISERROR(DA59*CZ53),"",DA59*CZ53)</f>
        <v>0</v>
      </c>
      <c r="DA59" s="521"/>
      <c r="DB59" s="371"/>
      <c r="DC59" s="359" t="str">
        <f>IF(ISERROR(DB59/DB53),"",DB59/DB53)</f>
        <v/>
      </c>
      <c r="DD59" s="358">
        <f t="shared" si="25"/>
        <v>0</v>
      </c>
      <c r="DE59" s="102"/>
      <c r="DF59" s="286">
        <f t="shared" si="44"/>
        <v>0</v>
      </c>
      <c r="DG59" s="296" t="str">
        <f>IF(ISERROR(DF59/DF53),"",DF59/DF53)</f>
        <v/>
      </c>
      <c r="DH59" s="231">
        <f t="shared" si="45"/>
        <v>0</v>
      </c>
      <c r="DI59" s="296" t="str">
        <f>IF(ISERROR(DH59/DH53),"",DH59/DH53)</f>
        <v/>
      </c>
      <c r="DJ59" s="231">
        <f t="shared" si="46"/>
        <v>0</v>
      </c>
      <c r="DK59" s="8"/>
    </row>
    <row r="60" spans="1:115" s="3" customFormat="1" ht="21.75" customHeight="1" outlineLevel="1" x14ac:dyDescent="0.25">
      <c r="A60" s="80">
        <v>51</v>
      </c>
      <c r="B60" s="618"/>
      <c r="C60" s="761"/>
      <c r="D60" s="632"/>
      <c r="E60" s="647"/>
      <c r="F60" s="650" t="s">
        <v>53</v>
      </c>
      <c r="G60" s="610"/>
      <c r="H60" s="610"/>
      <c r="I60" s="611"/>
      <c r="J60" s="230">
        <f t="shared" si="29"/>
        <v>0</v>
      </c>
      <c r="K60" s="296" t="str">
        <f>IF(ISERROR(J60/J53),"",J60/J53)</f>
        <v/>
      </c>
      <c r="L60" s="231">
        <f t="shared" si="30"/>
        <v>0</v>
      </c>
      <c r="M60" s="296" t="str">
        <f>IF(ISERROR(L60/L53),"",L60/L53)</f>
        <v/>
      </c>
      <c r="N60" s="207">
        <f t="shared" si="31"/>
        <v>0</v>
      </c>
      <c r="O60" s="45" t="e">
        <f t="shared" si="32"/>
        <v>#VALUE!</v>
      </c>
      <c r="P60" s="47"/>
      <c r="Q60" s="529">
        <f>IF(ISERROR(R60*Q53),"",R60*Q53)</f>
        <v>0</v>
      </c>
      <c r="R60" s="521"/>
      <c r="S60" s="371"/>
      <c r="T60" s="359" t="str">
        <f>IF(ISERROR(S60/S53),"",S60/S53)</f>
        <v/>
      </c>
      <c r="U60" s="358">
        <f t="shared" si="33"/>
        <v>0</v>
      </c>
      <c r="V60" s="102"/>
      <c r="W60" s="529">
        <f>IF(ISERROR(X60*W53),"",X60*W53)</f>
        <v>0</v>
      </c>
      <c r="X60" s="521"/>
      <c r="Y60" s="371"/>
      <c r="Z60" s="359" t="str">
        <f>IF(ISERROR(Y60/Y53),"",Y60/Y53)</f>
        <v/>
      </c>
      <c r="AA60" s="358">
        <f t="shared" si="5"/>
        <v>0</v>
      </c>
      <c r="AB60" s="102"/>
      <c r="AC60" s="529">
        <f>IF(ISERROR(AD60*AC53),"",AD60*AC53)</f>
        <v>0</v>
      </c>
      <c r="AD60" s="521"/>
      <c r="AE60" s="371"/>
      <c r="AF60" s="359" t="str">
        <f>IF(ISERROR(AE60/AE53),"",AE60/AE53)</f>
        <v/>
      </c>
      <c r="AG60" s="358">
        <f t="shared" si="6"/>
        <v>0</v>
      </c>
      <c r="AH60" s="103" t="e">
        <f t="shared" si="34"/>
        <v>#VALUE!</v>
      </c>
      <c r="AI60" s="286">
        <f t="shared" si="35"/>
        <v>0</v>
      </c>
      <c r="AJ60" s="296" t="str">
        <f>IF(ISERROR(AI60/AI53),"",AI60/AI53)</f>
        <v/>
      </c>
      <c r="AK60" s="231">
        <f t="shared" si="36"/>
        <v>0</v>
      </c>
      <c r="AL60" s="296" t="str">
        <f>IF(ISERROR(AK60/AK53),"",AK60/AK53)</f>
        <v/>
      </c>
      <c r="AM60" s="231">
        <f t="shared" si="37"/>
        <v>0</v>
      </c>
      <c r="AN60" s="102"/>
      <c r="AO60" s="99"/>
      <c r="AP60" s="529">
        <f>IF(ISERROR(AQ60*AP53),"",AQ60*AP53)</f>
        <v>0</v>
      </c>
      <c r="AQ60" s="521"/>
      <c r="AR60" s="371"/>
      <c r="AS60" s="359" t="str">
        <f>IF(ISERROR(AR60/AR53),"",AR60/AR53)</f>
        <v/>
      </c>
      <c r="AT60" s="358">
        <f t="shared" si="11"/>
        <v>0</v>
      </c>
      <c r="AU60" s="102"/>
      <c r="AV60" s="529">
        <f>IF(ISERROR(AW60*AV53),"",AW60*AV53)</f>
        <v>0</v>
      </c>
      <c r="AW60" s="521"/>
      <c r="AX60" s="371"/>
      <c r="AY60" s="359" t="str">
        <f>IF(ISERROR(AX60/AX53),"",AX60/AX53)</f>
        <v/>
      </c>
      <c r="AZ60" s="358">
        <f t="shared" si="12"/>
        <v>0</v>
      </c>
      <c r="BA60" s="102"/>
      <c r="BB60" s="529">
        <f>IF(ISERROR(BC60*BB53),"",BC60*BB53)</f>
        <v>0</v>
      </c>
      <c r="BC60" s="521"/>
      <c r="BD60" s="371"/>
      <c r="BE60" s="359" t="str">
        <f>IF(ISERROR(BD60/BD53),"",BD60/BD53)</f>
        <v/>
      </c>
      <c r="BF60" s="358">
        <f t="shared" si="13"/>
        <v>0</v>
      </c>
      <c r="BG60" s="102"/>
      <c r="BH60" s="286">
        <f t="shared" si="38"/>
        <v>0</v>
      </c>
      <c r="BI60" s="296" t="str">
        <f>IF(ISERROR(BH60/BH53),"",BH60/BH53)</f>
        <v/>
      </c>
      <c r="BJ60" s="231">
        <f t="shared" si="39"/>
        <v>0</v>
      </c>
      <c r="BK60" s="296" t="str">
        <f>IF(ISERROR(BJ60/BJ53),"",BJ60/BJ53)</f>
        <v/>
      </c>
      <c r="BL60" s="231">
        <f t="shared" si="40"/>
        <v>0</v>
      </c>
      <c r="BM60" s="102"/>
      <c r="BN60" s="99"/>
      <c r="BO60" s="529">
        <f>IF(ISERROR(BP60*BO53),"",BP60*BO53)</f>
        <v>0</v>
      </c>
      <c r="BP60" s="521"/>
      <c r="BQ60" s="371"/>
      <c r="BR60" s="359" t="str">
        <f>IF(ISERROR(BQ60/BQ53),"",BQ60/BQ53)</f>
        <v/>
      </c>
      <c r="BS60" s="358">
        <f t="shared" si="17"/>
        <v>0</v>
      </c>
      <c r="BT60" s="102"/>
      <c r="BU60" s="529">
        <f>IF(ISERROR(BV60*BU53),"",BV60*BU53)</f>
        <v>0</v>
      </c>
      <c r="BV60" s="521"/>
      <c r="BW60" s="371"/>
      <c r="BX60" s="359" t="str">
        <f>IF(ISERROR(BW60/BW53),"",BW60/BW53)</f>
        <v/>
      </c>
      <c r="BY60" s="358">
        <f t="shared" si="18"/>
        <v>0</v>
      </c>
      <c r="BZ60" s="102"/>
      <c r="CA60" s="529">
        <f>IF(ISERROR(CB60*CA53),"",CB60*CA53)</f>
        <v>0</v>
      </c>
      <c r="CB60" s="521"/>
      <c r="CC60" s="371"/>
      <c r="CD60" s="359" t="str">
        <f>IF(ISERROR(CC60/CC53),"",CC60/CC53)</f>
        <v/>
      </c>
      <c r="CE60" s="358">
        <f t="shared" si="19"/>
        <v>0</v>
      </c>
      <c r="CF60" s="102"/>
      <c r="CG60" s="286">
        <f t="shared" si="41"/>
        <v>0</v>
      </c>
      <c r="CH60" s="296" t="str">
        <f>IF(ISERROR(CG60/CG53),"",CG60/CG53)</f>
        <v/>
      </c>
      <c r="CI60" s="231">
        <f t="shared" si="42"/>
        <v>0</v>
      </c>
      <c r="CJ60" s="296" t="str">
        <f>IF(ISERROR(CI60/CI53),"",CI60/CI53)</f>
        <v/>
      </c>
      <c r="CK60" s="231">
        <f t="shared" si="43"/>
        <v>0</v>
      </c>
      <c r="CL60" s="102"/>
      <c r="CM60" s="100"/>
      <c r="CN60" s="529">
        <f>IF(ISERROR(CO60*CN53),"",CO60*CN53)</f>
        <v>0</v>
      </c>
      <c r="CO60" s="521"/>
      <c r="CP60" s="371"/>
      <c r="CQ60" s="359" t="str">
        <f>IF(ISERROR(CP60/CP53),"",CP60/CP53)</f>
        <v/>
      </c>
      <c r="CR60" s="358">
        <f t="shared" si="23"/>
        <v>0</v>
      </c>
      <c r="CS60" s="102"/>
      <c r="CT60" s="529">
        <f>IF(ISERROR(CU60*CT53),"",CU60*CT53)</f>
        <v>0</v>
      </c>
      <c r="CU60" s="521"/>
      <c r="CV60" s="371"/>
      <c r="CW60" s="359" t="str">
        <f>IF(ISERROR(CV60/CV53),"",CV60/CV53)</f>
        <v/>
      </c>
      <c r="CX60" s="358">
        <f t="shared" si="24"/>
        <v>0</v>
      </c>
      <c r="CY60" s="102"/>
      <c r="CZ60" s="529">
        <f>IF(ISERROR(DA60*CZ53),"",DA60*CZ53)</f>
        <v>0</v>
      </c>
      <c r="DA60" s="521"/>
      <c r="DB60" s="371"/>
      <c r="DC60" s="359" t="str">
        <f>IF(ISERROR(DB60/DB53),"",DB60/DB53)</f>
        <v/>
      </c>
      <c r="DD60" s="358">
        <f t="shared" si="25"/>
        <v>0</v>
      </c>
      <c r="DE60" s="102"/>
      <c r="DF60" s="286">
        <f t="shared" si="44"/>
        <v>0</v>
      </c>
      <c r="DG60" s="296" t="str">
        <f>IF(ISERROR(DF60/DF53),"",DF60/DF53)</f>
        <v/>
      </c>
      <c r="DH60" s="231">
        <f t="shared" si="45"/>
        <v>0</v>
      </c>
      <c r="DI60" s="296" t="str">
        <f>IF(ISERROR(DH60/DH53),"",DH60/DH53)</f>
        <v/>
      </c>
      <c r="DJ60" s="231">
        <f t="shared" si="46"/>
        <v>0</v>
      </c>
      <c r="DK60" s="8"/>
    </row>
    <row r="61" spans="1:115" s="3" customFormat="1" ht="21.75" customHeight="1" outlineLevel="1" x14ac:dyDescent="0.25">
      <c r="A61" s="80">
        <v>52</v>
      </c>
      <c r="B61" s="618"/>
      <c r="C61" s="761"/>
      <c r="D61" s="632"/>
      <c r="E61" s="647"/>
      <c r="F61" s="650" t="s">
        <v>54</v>
      </c>
      <c r="G61" s="610"/>
      <c r="H61" s="610"/>
      <c r="I61" s="611"/>
      <c r="J61" s="230">
        <f t="shared" si="29"/>
        <v>0</v>
      </c>
      <c r="K61" s="296" t="str">
        <f>IF(ISERROR(J61/J53),"",J61/J53)</f>
        <v/>
      </c>
      <c r="L61" s="231">
        <f t="shared" si="30"/>
        <v>0</v>
      </c>
      <c r="M61" s="296" t="str">
        <f>IF(ISERROR(L61/L53),"",L61/L53)</f>
        <v/>
      </c>
      <c r="N61" s="207">
        <f t="shared" si="31"/>
        <v>0</v>
      </c>
      <c r="O61" s="45" t="e">
        <f t="shared" si="32"/>
        <v>#VALUE!</v>
      </c>
      <c r="P61" s="47"/>
      <c r="Q61" s="529">
        <f>IF(ISERROR(R61*Q53),"",R61*Q53)</f>
        <v>0</v>
      </c>
      <c r="R61" s="521"/>
      <c r="S61" s="371"/>
      <c r="T61" s="359" t="str">
        <f>IF(ISERROR(S61/S53),"",S61/S53)</f>
        <v/>
      </c>
      <c r="U61" s="358">
        <f t="shared" si="33"/>
        <v>0</v>
      </c>
      <c r="V61" s="102"/>
      <c r="W61" s="529">
        <f>IF(ISERROR(X61*W53),"",X61*W53)</f>
        <v>0</v>
      </c>
      <c r="X61" s="521"/>
      <c r="Y61" s="371"/>
      <c r="Z61" s="359" t="str">
        <f>IF(ISERROR(Y61/Y53),"",Y61/Y53)</f>
        <v/>
      </c>
      <c r="AA61" s="358">
        <f t="shared" si="5"/>
        <v>0</v>
      </c>
      <c r="AB61" s="102"/>
      <c r="AC61" s="529">
        <f>IF(ISERROR(AD61*AC53),"",AD61*AC53)</f>
        <v>0</v>
      </c>
      <c r="AD61" s="521"/>
      <c r="AE61" s="371"/>
      <c r="AF61" s="359" t="str">
        <f>IF(ISERROR(AE61/AE53),"",AE61/AE53)</f>
        <v/>
      </c>
      <c r="AG61" s="358">
        <f t="shared" si="6"/>
        <v>0</v>
      </c>
      <c r="AH61" s="103" t="e">
        <f t="shared" si="34"/>
        <v>#VALUE!</v>
      </c>
      <c r="AI61" s="286">
        <f t="shared" si="35"/>
        <v>0</v>
      </c>
      <c r="AJ61" s="296" t="str">
        <f>IF(ISERROR(AI61/AI53),"",AI61/AI53)</f>
        <v/>
      </c>
      <c r="AK61" s="231">
        <f t="shared" si="36"/>
        <v>0</v>
      </c>
      <c r="AL61" s="296" t="str">
        <f>IF(ISERROR(AK61/AK53),"",AK61/AK53)</f>
        <v/>
      </c>
      <c r="AM61" s="231">
        <f t="shared" si="37"/>
        <v>0</v>
      </c>
      <c r="AN61" s="102"/>
      <c r="AO61" s="99"/>
      <c r="AP61" s="529">
        <f>IF(ISERROR(AQ61*AP53),"",AQ61*AP53)</f>
        <v>0</v>
      </c>
      <c r="AQ61" s="521"/>
      <c r="AR61" s="371"/>
      <c r="AS61" s="359" t="str">
        <f>IF(ISERROR(AR61/AR53),"",AR61/AR53)</f>
        <v/>
      </c>
      <c r="AT61" s="358">
        <f t="shared" si="11"/>
        <v>0</v>
      </c>
      <c r="AU61" s="102"/>
      <c r="AV61" s="529">
        <f>IF(ISERROR(AW61*AV53),"",AW61*AV53)</f>
        <v>0</v>
      </c>
      <c r="AW61" s="521"/>
      <c r="AX61" s="371"/>
      <c r="AY61" s="359" t="str">
        <f>IF(ISERROR(AX61/AX53),"",AX61/AX53)</f>
        <v/>
      </c>
      <c r="AZ61" s="358">
        <f t="shared" si="12"/>
        <v>0</v>
      </c>
      <c r="BA61" s="102"/>
      <c r="BB61" s="529">
        <f>IF(ISERROR(BC61*BB53),"",BC61*BB53)</f>
        <v>0</v>
      </c>
      <c r="BC61" s="521"/>
      <c r="BD61" s="371"/>
      <c r="BE61" s="359" t="str">
        <f>IF(ISERROR(BD61/BD53),"",BD61/BD53)</f>
        <v/>
      </c>
      <c r="BF61" s="358">
        <f t="shared" si="13"/>
        <v>0</v>
      </c>
      <c r="BG61" s="102"/>
      <c r="BH61" s="286">
        <f t="shared" si="38"/>
        <v>0</v>
      </c>
      <c r="BI61" s="296" t="str">
        <f>IF(ISERROR(BH61/BH53),"",BH61/BH53)</f>
        <v/>
      </c>
      <c r="BJ61" s="231">
        <f t="shared" si="39"/>
        <v>0</v>
      </c>
      <c r="BK61" s="296" t="str">
        <f>IF(ISERROR(BJ61/BJ53),"",BJ61/BJ53)</f>
        <v/>
      </c>
      <c r="BL61" s="231">
        <f t="shared" si="40"/>
        <v>0</v>
      </c>
      <c r="BM61" s="102"/>
      <c r="BN61" s="99"/>
      <c r="BO61" s="529">
        <f>IF(ISERROR(BP61*BO53),"",BP61*BO53)</f>
        <v>0</v>
      </c>
      <c r="BP61" s="521"/>
      <c r="BQ61" s="371"/>
      <c r="BR61" s="359" t="str">
        <f>IF(ISERROR(BQ61/BQ53),"",BQ61/BQ53)</f>
        <v/>
      </c>
      <c r="BS61" s="358">
        <f t="shared" si="17"/>
        <v>0</v>
      </c>
      <c r="BT61" s="102"/>
      <c r="BU61" s="529">
        <f>IF(ISERROR(BV61*BU53),"",BV61*BU53)</f>
        <v>0</v>
      </c>
      <c r="BV61" s="521"/>
      <c r="BW61" s="371"/>
      <c r="BX61" s="359" t="str">
        <f>IF(ISERROR(BW61/BW53),"",BW61/BW53)</f>
        <v/>
      </c>
      <c r="BY61" s="358">
        <f t="shared" si="18"/>
        <v>0</v>
      </c>
      <c r="BZ61" s="102"/>
      <c r="CA61" s="529">
        <f>IF(ISERROR(CB61*CA53),"",CB61*CA53)</f>
        <v>0</v>
      </c>
      <c r="CB61" s="521"/>
      <c r="CC61" s="371"/>
      <c r="CD61" s="359" t="str">
        <f>IF(ISERROR(CC61/CC53),"",CC61/CC53)</f>
        <v/>
      </c>
      <c r="CE61" s="358">
        <f t="shared" si="19"/>
        <v>0</v>
      </c>
      <c r="CF61" s="102"/>
      <c r="CG61" s="286">
        <f t="shared" si="41"/>
        <v>0</v>
      </c>
      <c r="CH61" s="296" t="str">
        <f>IF(ISERROR(CG61/CG53),"",CG61/CG53)</f>
        <v/>
      </c>
      <c r="CI61" s="231">
        <f t="shared" si="42"/>
        <v>0</v>
      </c>
      <c r="CJ61" s="296" t="str">
        <f>IF(ISERROR(CI61/CI53),"",CI61/CI53)</f>
        <v/>
      </c>
      <c r="CK61" s="231">
        <f t="shared" si="43"/>
        <v>0</v>
      </c>
      <c r="CL61" s="102"/>
      <c r="CM61" s="100"/>
      <c r="CN61" s="529">
        <f>IF(ISERROR(CO61*CN53),"",CO61*CN53)</f>
        <v>0</v>
      </c>
      <c r="CO61" s="521"/>
      <c r="CP61" s="371"/>
      <c r="CQ61" s="359" t="str">
        <f>IF(ISERROR(CP61/CP53),"",CP61/CP53)</f>
        <v/>
      </c>
      <c r="CR61" s="358">
        <f t="shared" si="23"/>
        <v>0</v>
      </c>
      <c r="CS61" s="102"/>
      <c r="CT61" s="529">
        <f>IF(ISERROR(CU61*CT53),"",CU61*CT53)</f>
        <v>0</v>
      </c>
      <c r="CU61" s="521"/>
      <c r="CV61" s="371"/>
      <c r="CW61" s="359" t="str">
        <f>IF(ISERROR(CV61/CV53),"",CV61/CV53)</f>
        <v/>
      </c>
      <c r="CX61" s="358">
        <f t="shared" si="24"/>
        <v>0</v>
      </c>
      <c r="CY61" s="102"/>
      <c r="CZ61" s="529">
        <f>IF(ISERROR(DA61*CZ53),"",DA61*CZ53)</f>
        <v>0</v>
      </c>
      <c r="DA61" s="521"/>
      <c r="DB61" s="371"/>
      <c r="DC61" s="359" t="str">
        <f>IF(ISERROR(DB61/DB53),"",DB61/DB53)</f>
        <v/>
      </c>
      <c r="DD61" s="358">
        <f t="shared" si="25"/>
        <v>0</v>
      </c>
      <c r="DE61" s="102"/>
      <c r="DF61" s="286">
        <f t="shared" si="44"/>
        <v>0</v>
      </c>
      <c r="DG61" s="296" t="str">
        <f>IF(ISERROR(DF61/DF53),"",DF61/DF53)</f>
        <v/>
      </c>
      <c r="DH61" s="231">
        <f t="shared" si="45"/>
        <v>0</v>
      </c>
      <c r="DI61" s="296" t="str">
        <f>IF(ISERROR(DH61/DH53),"",DH61/DH53)</f>
        <v/>
      </c>
      <c r="DJ61" s="231">
        <f t="shared" si="46"/>
        <v>0</v>
      </c>
      <c r="DK61" s="8"/>
    </row>
    <row r="62" spans="1:115" s="3" customFormat="1" ht="21.75" customHeight="1" outlineLevel="1" thickBot="1" x14ac:dyDescent="0.3">
      <c r="A62" s="80">
        <v>53</v>
      </c>
      <c r="B62" s="618"/>
      <c r="C62" s="761"/>
      <c r="D62" s="632"/>
      <c r="E62" s="647"/>
      <c r="F62" s="651" t="s">
        <v>55</v>
      </c>
      <c r="G62" s="613"/>
      <c r="H62" s="613"/>
      <c r="I62" s="614"/>
      <c r="J62" s="240">
        <f t="shared" si="29"/>
        <v>0</v>
      </c>
      <c r="K62" s="300" t="str">
        <f>IF(ISERROR(J62/J53),"",J62/J53)</f>
        <v/>
      </c>
      <c r="L62" s="241">
        <f t="shared" si="30"/>
        <v>0</v>
      </c>
      <c r="M62" s="300" t="str">
        <f>IF(ISERROR(L62/L53),"",L62/L53)</f>
        <v/>
      </c>
      <c r="N62" s="212">
        <f t="shared" si="31"/>
        <v>0</v>
      </c>
      <c r="O62" s="51" t="e">
        <f t="shared" si="32"/>
        <v>#VALUE!</v>
      </c>
      <c r="P62" s="47"/>
      <c r="Q62" s="529">
        <f>IF(ISERROR(R62*Q53),"",R62*Q53)</f>
        <v>0</v>
      </c>
      <c r="R62" s="522"/>
      <c r="S62" s="376"/>
      <c r="T62" s="377" t="str">
        <f>IF(ISERROR(S62/S53),"",S62/S53)</f>
        <v/>
      </c>
      <c r="U62" s="378">
        <f t="shared" si="33"/>
        <v>0</v>
      </c>
      <c r="V62" s="114"/>
      <c r="W62" s="529">
        <f>IF(ISERROR(X62*W53),"",X62*W53)</f>
        <v>0</v>
      </c>
      <c r="X62" s="522"/>
      <c r="Y62" s="376"/>
      <c r="Z62" s="377" t="str">
        <f>IF(ISERROR(Y62/Y53),"",Y62/Y53)</f>
        <v/>
      </c>
      <c r="AA62" s="378">
        <f t="shared" si="5"/>
        <v>0</v>
      </c>
      <c r="AB62" s="114"/>
      <c r="AC62" s="529">
        <f>IF(ISERROR(AD62*AC53),"",AD62*AC53)</f>
        <v>0</v>
      </c>
      <c r="AD62" s="522"/>
      <c r="AE62" s="376"/>
      <c r="AF62" s="377" t="str">
        <f>IF(ISERROR(AE62/AE53),"",AE62/AE53)</f>
        <v/>
      </c>
      <c r="AG62" s="378">
        <f t="shared" si="6"/>
        <v>0</v>
      </c>
      <c r="AH62" s="115" t="e">
        <f t="shared" si="34"/>
        <v>#VALUE!</v>
      </c>
      <c r="AI62" s="290">
        <f t="shared" si="35"/>
        <v>0</v>
      </c>
      <c r="AJ62" s="300" t="str">
        <f>IF(ISERROR(AI62/AI53),"",AI62/AI53)</f>
        <v/>
      </c>
      <c r="AK62" s="241">
        <f t="shared" si="36"/>
        <v>0</v>
      </c>
      <c r="AL62" s="300" t="str">
        <f>IF(ISERROR(AK62/AK53),"",AK62/AK53)</f>
        <v/>
      </c>
      <c r="AM62" s="241">
        <f t="shared" si="37"/>
        <v>0</v>
      </c>
      <c r="AN62" s="114"/>
      <c r="AO62" s="99"/>
      <c r="AP62" s="529">
        <f>IF(ISERROR(AQ62*AP53),"",AQ62*AP53)</f>
        <v>0</v>
      </c>
      <c r="AQ62" s="522"/>
      <c r="AR62" s="376"/>
      <c r="AS62" s="377" t="str">
        <f>IF(ISERROR(AR62/AR53),"",AR62/AR53)</f>
        <v/>
      </c>
      <c r="AT62" s="378">
        <f t="shared" si="11"/>
        <v>0</v>
      </c>
      <c r="AU62" s="114"/>
      <c r="AV62" s="529">
        <f>IF(ISERROR(AW62*AV53),"",AW62*AV53)</f>
        <v>0</v>
      </c>
      <c r="AW62" s="522"/>
      <c r="AX62" s="376"/>
      <c r="AY62" s="377" t="str">
        <f>IF(ISERROR(AX62/AX53),"",AX62/AX53)</f>
        <v/>
      </c>
      <c r="AZ62" s="378">
        <f t="shared" si="12"/>
        <v>0</v>
      </c>
      <c r="BA62" s="114"/>
      <c r="BB62" s="529">
        <f>IF(ISERROR(BC62*BB53),"",BC62*BB53)</f>
        <v>0</v>
      </c>
      <c r="BC62" s="522"/>
      <c r="BD62" s="376"/>
      <c r="BE62" s="377" t="str">
        <f>IF(ISERROR(BD62/BD53),"",BD62/BD53)</f>
        <v/>
      </c>
      <c r="BF62" s="378">
        <f t="shared" si="13"/>
        <v>0</v>
      </c>
      <c r="BG62" s="114"/>
      <c r="BH62" s="290">
        <f t="shared" si="38"/>
        <v>0</v>
      </c>
      <c r="BI62" s="300" t="str">
        <f>IF(ISERROR(BH62/BH53),"",BH62/BH53)</f>
        <v/>
      </c>
      <c r="BJ62" s="241">
        <f t="shared" si="39"/>
        <v>0</v>
      </c>
      <c r="BK62" s="300" t="str">
        <f>IF(ISERROR(BJ62/BJ53),"",BJ62/BJ53)</f>
        <v/>
      </c>
      <c r="BL62" s="241">
        <f t="shared" si="40"/>
        <v>0</v>
      </c>
      <c r="BM62" s="114"/>
      <c r="BN62" s="99"/>
      <c r="BO62" s="529">
        <f>IF(ISERROR(BP62*BO53),"",BP62*BO53)</f>
        <v>0</v>
      </c>
      <c r="BP62" s="522"/>
      <c r="BQ62" s="376"/>
      <c r="BR62" s="377" t="str">
        <f>IF(ISERROR(BQ62/BQ53),"",BQ62/BQ53)</f>
        <v/>
      </c>
      <c r="BS62" s="378">
        <f t="shared" si="17"/>
        <v>0</v>
      </c>
      <c r="BT62" s="114"/>
      <c r="BU62" s="529">
        <f>IF(ISERROR(BV62*BU53),"",BV62*BU53)</f>
        <v>0</v>
      </c>
      <c r="BV62" s="522"/>
      <c r="BW62" s="376"/>
      <c r="BX62" s="377" t="str">
        <f>IF(ISERROR(BW62/BW53),"",BW62/BW53)</f>
        <v/>
      </c>
      <c r="BY62" s="378">
        <f t="shared" si="18"/>
        <v>0</v>
      </c>
      <c r="BZ62" s="114"/>
      <c r="CA62" s="529">
        <f>IF(ISERROR(CB62*CA53),"",CB62*CA53)</f>
        <v>0</v>
      </c>
      <c r="CB62" s="522"/>
      <c r="CC62" s="376"/>
      <c r="CD62" s="377" t="str">
        <f>IF(ISERROR(CC62/CC53),"",CC62/CC53)</f>
        <v/>
      </c>
      <c r="CE62" s="378">
        <f t="shared" si="19"/>
        <v>0</v>
      </c>
      <c r="CF62" s="114"/>
      <c r="CG62" s="290">
        <f t="shared" si="41"/>
        <v>0</v>
      </c>
      <c r="CH62" s="300" t="str">
        <f>IF(ISERROR(CG62/CG53),"",CG62/CG53)</f>
        <v/>
      </c>
      <c r="CI62" s="241">
        <f t="shared" si="42"/>
        <v>0</v>
      </c>
      <c r="CJ62" s="300" t="str">
        <f>IF(ISERROR(CI62/CI53),"",CI62/CI53)</f>
        <v/>
      </c>
      <c r="CK62" s="241">
        <f t="shared" si="43"/>
        <v>0</v>
      </c>
      <c r="CL62" s="114"/>
      <c r="CM62" s="100"/>
      <c r="CN62" s="529">
        <f>IF(ISERROR(CO62*CN53),"",CO62*CN53)</f>
        <v>0</v>
      </c>
      <c r="CO62" s="522"/>
      <c r="CP62" s="376"/>
      <c r="CQ62" s="377" t="str">
        <f>IF(ISERROR(CP62/CP53),"",CP62/CP53)</f>
        <v/>
      </c>
      <c r="CR62" s="378">
        <f t="shared" si="23"/>
        <v>0</v>
      </c>
      <c r="CS62" s="114"/>
      <c r="CT62" s="529">
        <f>IF(ISERROR(CU62*CT53),"",CU62*CT53)</f>
        <v>0</v>
      </c>
      <c r="CU62" s="522"/>
      <c r="CV62" s="376"/>
      <c r="CW62" s="377" t="str">
        <f>IF(ISERROR(CV62/CV53),"",CV62/CV53)</f>
        <v/>
      </c>
      <c r="CX62" s="378">
        <f t="shared" si="24"/>
        <v>0</v>
      </c>
      <c r="CY62" s="114"/>
      <c r="CZ62" s="529">
        <f>IF(ISERROR(DA62*CZ53),"",DA62*CZ53)</f>
        <v>0</v>
      </c>
      <c r="DA62" s="522"/>
      <c r="DB62" s="376"/>
      <c r="DC62" s="377" t="str">
        <f>IF(ISERROR(DB62/DB53),"",DB62/DB53)</f>
        <v/>
      </c>
      <c r="DD62" s="378">
        <f t="shared" si="25"/>
        <v>0</v>
      </c>
      <c r="DE62" s="114"/>
      <c r="DF62" s="290">
        <f t="shared" si="44"/>
        <v>0</v>
      </c>
      <c r="DG62" s="300" t="str">
        <f>IF(ISERROR(DF62/DF53),"",DF62/DF53)</f>
        <v/>
      </c>
      <c r="DH62" s="241">
        <f t="shared" si="45"/>
        <v>0</v>
      </c>
      <c r="DI62" s="300" t="str">
        <f>IF(ISERROR(DH62/DH53),"",DH62/DH53)</f>
        <v/>
      </c>
      <c r="DJ62" s="241">
        <f t="shared" si="46"/>
        <v>0</v>
      </c>
      <c r="DK62" s="13"/>
    </row>
    <row r="63" spans="1:115" s="3" customFormat="1" ht="21.75" customHeight="1" outlineLevel="1" thickTop="1" x14ac:dyDescent="0.25">
      <c r="A63" s="80">
        <v>54</v>
      </c>
      <c r="B63" s="618"/>
      <c r="C63" s="761"/>
      <c r="D63" s="632"/>
      <c r="E63" s="648"/>
      <c r="F63" s="652" t="s">
        <v>56</v>
      </c>
      <c r="G63" s="653"/>
      <c r="H63" s="653"/>
      <c r="I63" s="654"/>
      <c r="J63" s="242">
        <f t="shared" si="29"/>
        <v>0</v>
      </c>
      <c r="K63" s="279" t="str">
        <f>IF(ISERROR(J63/J53),"",J63/J53)</f>
        <v/>
      </c>
      <c r="L63" s="243">
        <f t="shared" si="30"/>
        <v>0</v>
      </c>
      <c r="M63" s="279" t="str">
        <f>IF(ISERROR(L63/L53),"",L63/L53)</f>
        <v/>
      </c>
      <c r="N63" s="213">
        <f t="shared" si="31"/>
        <v>0</v>
      </c>
      <c r="O63" s="52" t="e">
        <f t="shared" si="32"/>
        <v>#VALUE!</v>
      </c>
      <c r="P63" s="47"/>
      <c r="Q63" s="258">
        <f>SUM(Q58:Q62)</f>
        <v>0</v>
      </c>
      <c r="R63" s="518" t="str">
        <f>IF(ISERROR(Q63/Q53),"",Q63/Q53)</f>
        <v/>
      </c>
      <c r="S63" s="381">
        <f>SUM(S58:S62)</f>
        <v>0</v>
      </c>
      <c r="T63" s="382" t="str">
        <f>IF(ISERROR(S63/S53),"",S63/S53)</f>
        <v/>
      </c>
      <c r="U63" s="381">
        <f t="shared" si="33"/>
        <v>0</v>
      </c>
      <c r="V63" s="117"/>
      <c r="W63" s="258">
        <f>SUM(W58:W62)</f>
        <v>0</v>
      </c>
      <c r="X63" s="518" t="str">
        <f>IF(ISERROR(W63/W53),"",W63/W53)</f>
        <v/>
      </c>
      <c r="Y63" s="381">
        <f>SUM(Y58:Y62)</f>
        <v>0</v>
      </c>
      <c r="Z63" s="382" t="str">
        <f>IF(ISERROR(Y63/Y53),"",Y63/Y53)</f>
        <v/>
      </c>
      <c r="AA63" s="381">
        <f t="shared" si="5"/>
        <v>0</v>
      </c>
      <c r="AB63" s="117"/>
      <c r="AC63" s="258">
        <f>SUM(AC58:AC62)</f>
        <v>0</v>
      </c>
      <c r="AD63" s="518" t="str">
        <f>IF(ISERROR(AC63/AC53),"",AC63/AC53)</f>
        <v/>
      </c>
      <c r="AE63" s="381">
        <f>SUM(AE58:AE62)</f>
        <v>0</v>
      </c>
      <c r="AF63" s="382" t="str">
        <f>IF(ISERROR(AE63/AE53),"",AE63/AE53)</f>
        <v/>
      </c>
      <c r="AG63" s="381">
        <f t="shared" si="6"/>
        <v>0</v>
      </c>
      <c r="AH63" s="116" t="e">
        <f t="shared" si="34"/>
        <v>#VALUE!</v>
      </c>
      <c r="AI63" s="242">
        <f t="shared" si="35"/>
        <v>0</v>
      </c>
      <c r="AJ63" s="279" t="str">
        <f>IF(ISERROR(AI63/AI53),"",AI63/AI53)</f>
        <v/>
      </c>
      <c r="AK63" s="243">
        <f t="shared" si="36"/>
        <v>0</v>
      </c>
      <c r="AL63" s="279" t="str">
        <f>IF(ISERROR(AK63/AK53),"",AK63/AK53)</f>
        <v/>
      </c>
      <c r="AM63" s="243">
        <f t="shared" si="37"/>
        <v>0</v>
      </c>
      <c r="AN63" s="117"/>
      <c r="AO63" s="99"/>
      <c r="AP63" s="258">
        <f>SUM(AP58:AP62)</f>
        <v>0</v>
      </c>
      <c r="AQ63" s="518" t="str">
        <f>IF(ISERROR(AP63/AP53),"",AP63/AP53)</f>
        <v/>
      </c>
      <c r="AR63" s="381">
        <f>SUM(AR58:AR62)</f>
        <v>0</v>
      </c>
      <c r="AS63" s="382" t="str">
        <f>IF(ISERROR(AR63/AR53),"",AR63/AR53)</f>
        <v/>
      </c>
      <c r="AT63" s="381">
        <f t="shared" si="11"/>
        <v>0</v>
      </c>
      <c r="AU63" s="117"/>
      <c r="AV63" s="258">
        <f>SUM(AV58:AV62)</f>
        <v>0</v>
      </c>
      <c r="AW63" s="518" t="str">
        <f>IF(ISERROR(AV63/AV53),"",AV63/AV53)</f>
        <v/>
      </c>
      <c r="AX63" s="381">
        <f>SUM(AX58:AX62)</f>
        <v>0</v>
      </c>
      <c r="AY63" s="382" t="str">
        <f>IF(ISERROR(AX63/AX53),"",AX63/AX53)</f>
        <v/>
      </c>
      <c r="AZ63" s="381">
        <f t="shared" si="12"/>
        <v>0</v>
      </c>
      <c r="BA63" s="117"/>
      <c r="BB63" s="258">
        <f>SUM(BB58:BB62)</f>
        <v>0</v>
      </c>
      <c r="BC63" s="518" t="str">
        <f>IF(ISERROR(BB63/BB53),"",BB63/BB53)</f>
        <v/>
      </c>
      <c r="BD63" s="381">
        <f>SUM(BD58:BD62)</f>
        <v>0</v>
      </c>
      <c r="BE63" s="382" t="str">
        <f>IF(ISERROR(BD63/BD53),"",BD63/BD53)</f>
        <v/>
      </c>
      <c r="BF63" s="381">
        <f t="shared" si="13"/>
        <v>0</v>
      </c>
      <c r="BG63" s="117"/>
      <c r="BH63" s="242">
        <f t="shared" si="38"/>
        <v>0</v>
      </c>
      <c r="BI63" s="279" t="str">
        <f>IF(ISERROR(BH63/BH53),"",BH63/BH53)</f>
        <v/>
      </c>
      <c r="BJ63" s="243">
        <f t="shared" si="39"/>
        <v>0</v>
      </c>
      <c r="BK63" s="279" t="str">
        <f>IF(ISERROR(BJ63/BJ53),"",BJ63/BJ53)</f>
        <v/>
      </c>
      <c r="BL63" s="243">
        <f t="shared" si="40"/>
        <v>0</v>
      </c>
      <c r="BM63" s="117"/>
      <c r="BN63" s="99"/>
      <c r="BO63" s="258">
        <f>SUM(BO58:BO62)</f>
        <v>0</v>
      </c>
      <c r="BP63" s="518" t="str">
        <f>IF(ISERROR(BO63/BO53),"",BO63/BO53)</f>
        <v/>
      </c>
      <c r="BQ63" s="381">
        <f>SUM(BQ58:BQ62)</f>
        <v>0</v>
      </c>
      <c r="BR63" s="382" t="str">
        <f>IF(ISERROR(BQ63/BQ53),"",BQ63/BQ53)</f>
        <v/>
      </c>
      <c r="BS63" s="381">
        <f t="shared" si="17"/>
        <v>0</v>
      </c>
      <c r="BT63" s="117"/>
      <c r="BU63" s="258">
        <f>SUM(BU58:BU62)</f>
        <v>0</v>
      </c>
      <c r="BV63" s="518" t="str">
        <f>IF(ISERROR(BU63/BU53),"",BU63/BU53)</f>
        <v/>
      </c>
      <c r="BW63" s="381">
        <f>SUM(BW58:BW62)</f>
        <v>0</v>
      </c>
      <c r="BX63" s="382" t="str">
        <f>IF(ISERROR(BW63/BW53),"",BW63/BW53)</f>
        <v/>
      </c>
      <c r="BY63" s="381">
        <f t="shared" si="18"/>
        <v>0</v>
      </c>
      <c r="BZ63" s="117"/>
      <c r="CA63" s="258">
        <f>SUM(CA58:CA62)</f>
        <v>0</v>
      </c>
      <c r="CB63" s="518" t="str">
        <f>IF(ISERROR(CA63/CA53),"",CA63/CA53)</f>
        <v/>
      </c>
      <c r="CC63" s="381">
        <f>SUM(CC58:CC62)</f>
        <v>0</v>
      </c>
      <c r="CD63" s="382" t="str">
        <f>IF(ISERROR(CC63/CC53),"",CC63/CC53)</f>
        <v/>
      </c>
      <c r="CE63" s="381">
        <f t="shared" si="19"/>
        <v>0</v>
      </c>
      <c r="CF63" s="117"/>
      <c r="CG63" s="242">
        <f t="shared" si="41"/>
        <v>0</v>
      </c>
      <c r="CH63" s="279" t="str">
        <f>IF(ISERROR(CG63/CG53),"",CG63/CG53)</f>
        <v/>
      </c>
      <c r="CI63" s="243">
        <f t="shared" si="42"/>
        <v>0</v>
      </c>
      <c r="CJ63" s="279" t="str">
        <f>IF(ISERROR(CI63/CI53),"",CI63/CI53)</f>
        <v/>
      </c>
      <c r="CK63" s="243">
        <f t="shared" si="43"/>
        <v>0</v>
      </c>
      <c r="CL63" s="117"/>
      <c r="CM63" s="100"/>
      <c r="CN63" s="258">
        <f>SUM(CN58:CN62)</f>
        <v>0</v>
      </c>
      <c r="CO63" s="518" t="str">
        <f>IF(ISERROR(CN63/CN53),"",CN63/CN53)</f>
        <v/>
      </c>
      <c r="CP63" s="381">
        <f>SUM(CP58:CP62)</f>
        <v>0</v>
      </c>
      <c r="CQ63" s="382" t="str">
        <f>IF(ISERROR(CP63/CP53),"",CP63/CP53)</f>
        <v/>
      </c>
      <c r="CR63" s="381">
        <f t="shared" si="23"/>
        <v>0</v>
      </c>
      <c r="CS63" s="117"/>
      <c r="CT63" s="258">
        <f>SUM(CT58:CT62)</f>
        <v>0</v>
      </c>
      <c r="CU63" s="518" t="str">
        <f>IF(ISERROR(CT63/CT53),"",CT63/CT53)</f>
        <v/>
      </c>
      <c r="CV63" s="381">
        <f>SUM(CV58:CV62)</f>
        <v>0</v>
      </c>
      <c r="CW63" s="382" t="str">
        <f>IF(ISERROR(CV63/CV53),"",CV63/CV53)</f>
        <v/>
      </c>
      <c r="CX63" s="381">
        <f t="shared" si="24"/>
        <v>0</v>
      </c>
      <c r="CY63" s="117"/>
      <c r="CZ63" s="258">
        <f>SUM(CZ58:CZ62)</f>
        <v>0</v>
      </c>
      <c r="DA63" s="518" t="str">
        <f>IF(ISERROR(CZ63/CZ53),"",CZ63/CZ53)</f>
        <v/>
      </c>
      <c r="DB63" s="381">
        <f>SUM(DB58:DB62)</f>
        <v>0</v>
      </c>
      <c r="DC63" s="382" t="str">
        <f>IF(ISERROR(DB63/DB53),"",DB63/DB53)</f>
        <v/>
      </c>
      <c r="DD63" s="381">
        <f t="shared" si="25"/>
        <v>0</v>
      </c>
      <c r="DE63" s="117"/>
      <c r="DF63" s="242">
        <f t="shared" si="44"/>
        <v>0</v>
      </c>
      <c r="DG63" s="279" t="str">
        <f>IF(ISERROR(DF63/DF53),"",DF63/DF53)</f>
        <v/>
      </c>
      <c r="DH63" s="243">
        <f t="shared" si="45"/>
        <v>0</v>
      </c>
      <c r="DI63" s="279" t="str">
        <f>IF(ISERROR(DH63/DH53),"",DH63/DH53)</f>
        <v/>
      </c>
      <c r="DJ63" s="243">
        <f t="shared" si="46"/>
        <v>0</v>
      </c>
      <c r="DK63" s="14"/>
    </row>
    <row r="64" spans="1:115" s="3" customFormat="1" ht="21.75" customHeight="1" thickBot="1" x14ac:dyDescent="0.3">
      <c r="A64" s="80">
        <v>55</v>
      </c>
      <c r="B64" s="618"/>
      <c r="C64" s="761"/>
      <c r="D64" s="633"/>
      <c r="E64" s="587" t="s">
        <v>75</v>
      </c>
      <c r="F64" s="588"/>
      <c r="G64" s="588"/>
      <c r="H64" s="588"/>
      <c r="I64" s="589"/>
      <c r="J64" s="250">
        <f t="shared" si="29"/>
        <v>0</v>
      </c>
      <c r="K64" s="301" t="str">
        <f>IF(ISERROR(J64/J53),"",J64/J53)</f>
        <v/>
      </c>
      <c r="L64" s="251">
        <f t="shared" si="30"/>
        <v>0</v>
      </c>
      <c r="M64" s="301" t="str">
        <f>IF(ISERROR(L64/L53),"",L64/L53)</f>
        <v/>
      </c>
      <c r="N64" s="217">
        <f t="shared" si="31"/>
        <v>0</v>
      </c>
      <c r="O64" s="56" t="e">
        <f t="shared" si="32"/>
        <v>#VALUE!</v>
      </c>
      <c r="P64" s="47"/>
      <c r="Q64" s="250">
        <f>Q57-Q63</f>
        <v>0</v>
      </c>
      <c r="R64" s="301" t="str">
        <f>IF(ISERROR(Q64/Q53),"",Q64/Q53)</f>
        <v/>
      </c>
      <c r="S64" s="390">
        <f>S57-S63</f>
        <v>0</v>
      </c>
      <c r="T64" s="389" t="str">
        <f>IF(ISERROR(S64/S53),"",S64/S53)</f>
        <v/>
      </c>
      <c r="U64" s="390">
        <f t="shared" si="33"/>
        <v>0</v>
      </c>
      <c r="V64" s="125"/>
      <c r="W64" s="250">
        <f>W57-W63</f>
        <v>0</v>
      </c>
      <c r="X64" s="301" t="str">
        <f>IF(ISERROR(W64/W53),"",W64/W53)</f>
        <v/>
      </c>
      <c r="Y64" s="390">
        <f>Y57-Y63</f>
        <v>0</v>
      </c>
      <c r="Z64" s="389" t="str">
        <f>IF(ISERROR(Y64/Y53),"",Y64/Y53)</f>
        <v/>
      </c>
      <c r="AA64" s="390">
        <f t="shared" si="5"/>
        <v>0</v>
      </c>
      <c r="AB64" s="125"/>
      <c r="AC64" s="250">
        <f>AC57-AC63</f>
        <v>0</v>
      </c>
      <c r="AD64" s="301" t="str">
        <f>IF(ISERROR(AC64/AC53),"",AC64/AC53)</f>
        <v/>
      </c>
      <c r="AE64" s="390">
        <f>AE57-AE63</f>
        <v>0</v>
      </c>
      <c r="AF64" s="389" t="str">
        <f>IF(ISERROR(AE64/AE53),"",AE64/AE53)</f>
        <v/>
      </c>
      <c r="AG64" s="390">
        <f t="shared" si="6"/>
        <v>0</v>
      </c>
      <c r="AH64" s="124" t="e">
        <f t="shared" si="34"/>
        <v>#VALUE!</v>
      </c>
      <c r="AI64" s="250">
        <f t="shared" si="35"/>
        <v>0</v>
      </c>
      <c r="AJ64" s="301" t="str">
        <f>IF(ISERROR(AI64/AI53),"",AI64/AI53)</f>
        <v/>
      </c>
      <c r="AK64" s="251">
        <f t="shared" si="36"/>
        <v>0</v>
      </c>
      <c r="AL64" s="301" t="str">
        <f>IF(ISERROR(AK64/AK53),"",AK64/AK53)</f>
        <v/>
      </c>
      <c r="AM64" s="251">
        <f t="shared" si="37"/>
        <v>0</v>
      </c>
      <c r="AN64" s="125"/>
      <c r="AO64" s="126"/>
      <c r="AP64" s="250">
        <f>AP57-AP63</f>
        <v>0</v>
      </c>
      <c r="AQ64" s="301" t="str">
        <f>IF(ISERROR(AP64/AP53),"",AP64/AP53)</f>
        <v/>
      </c>
      <c r="AR64" s="390">
        <f>AR57-AR63</f>
        <v>0</v>
      </c>
      <c r="AS64" s="389" t="str">
        <f>IF(ISERROR(AR64/AR53),"",AR64/AR53)</f>
        <v/>
      </c>
      <c r="AT64" s="390">
        <f t="shared" si="11"/>
        <v>0</v>
      </c>
      <c r="AU64" s="125"/>
      <c r="AV64" s="250">
        <f>AV57-AV63</f>
        <v>0</v>
      </c>
      <c r="AW64" s="301" t="str">
        <f>IF(ISERROR(AV64/AV53),"",AV64/AV53)</f>
        <v/>
      </c>
      <c r="AX64" s="390">
        <f>AX57-AX63</f>
        <v>0</v>
      </c>
      <c r="AY64" s="389" t="str">
        <f>IF(ISERROR(AX64/AX53),"",AX64/AX53)</f>
        <v/>
      </c>
      <c r="AZ64" s="390">
        <f t="shared" si="12"/>
        <v>0</v>
      </c>
      <c r="BA64" s="125"/>
      <c r="BB64" s="250">
        <f>BB57-BB63</f>
        <v>0</v>
      </c>
      <c r="BC64" s="301" t="str">
        <f>IF(ISERROR(BB64/BB53),"",BB64/BB53)</f>
        <v/>
      </c>
      <c r="BD64" s="390">
        <f>BD57-BD63</f>
        <v>0</v>
      </c>
      <c r="BE64" s="389" t="str">
        <f>IF(ISERROR(BD64/BD53),"",BD64/BD53)</f>
        <v/>
      </c>
      <c r="BF64" s="390">
        <f t="shared" si="13"/>
        <v>0</v>
      </c>
      <c r="BG64" s="125"/>
      <c r="BH64" s="250">
        <f t="shared" si="38"/>
        <v>0</v>
      </c>
      <c r="BI64" s="301" t="str">
        <f>IF(ISERROR(BH64/BH53),"",BH64/BH53)</f>
        <v/>
      </c>
      <c r="BJ64" s="251">
        <f t="shared" si="39"/>
        <v>0</v>
      </c>
      <c r="BK64" s="301" t="str">
        <f>IF(ISERROR(BJ64/BJ53),"",BJ64/BJ53)</f>
        <v/>
      </c>
      <c r="BL64" s="251">
        <f t="shared" si="40"/>
        <v>0</v>
      </c>
      <c r="BM64" s="125"/>
      <c r="BN64" s="126"/>
      <c r="BO64" s="250">
        <f>BO57-BO63</f>
        <v>0</v>
      </c>
      <c r="BP64" s="301" t="str">
        <f>IF(ISERROR(BO64/BO53),"",BO64/BO53)</f>
        <v/>
      </c>
      <c r="BQ64" s="390">
        <f>BQ57-BQ63</f>
        <v>0</v>
      </c>
      <c r="BR64" s="389" t="str">
        <f>IF(ISERROR(BQ64/BQ53),"",BQ64/BQ53)</f>
        <v/>
      </c>
      <c r="BS64" s="390">
        <f t="shared" si="17"/>
        <v>0</v>
      </c>
      <c r="BT64" s="125"/>
      <c r="BU64" s="250">
        <f>BU57-BU63</f>
        <v>0</v>
      </c>
      <c r="BV64" s="301" t="str">
        <f>IF(ISERROR(BU64/BU53),"",BU64/BU53)</f>
        <v/>
      </c>
      <c r="BW64" s="390">
        <f>BW57-BW63</f>
        <v>0</v>
      </c>
      <c r="BX64" s="389" t="str">
        <f>IF(ISERROR(BW64/BW53),"",BW64/BW53)</f>
        <v/>
      </c>
      <c r="BY64" s="390">
        <f t="shared" si="18"/>
        <v>0</v>
      </c>
      <c r="BZ64" s="125"/>
      <c r="CA64" s="250">
        <f>CA57-CA63</f>
        <v>0</v>
      </c>
      <c r="CB64" s="301" t="str">
        <f>IF(ISERROR(CA64/CA53),"",CA64/CA53)</f>
        <v/>
      </c>
      <c r="CC64" s="390">
        <f>CC57-CC63</f>
        <v>0</v>
      </c>
      <c r="CD64" s="389" t="str">
        <f>IF(ISERROR(CC64/CC53),"",CC64/CC53)</f>
        <v/>
      </c>
      <c r="CE64" s="390">
        <f t="shared" si="19"/>
        <v>0</v>
      </c>
      <c r="CF64" s="125"/>
      <c r="CG64" s="250">
        <f t="shared" si="41"/>
        <v>0</v>
      </c>
      <c r="CH64" s="301" t="str">
        <f>IF(ISERROR(CG64/CG53),"",CG64/CG53)</f>
        <v/>
      </c>
      <c r="CI64" s="251">
        <f t="shared" si="42"/>
        <v>0</v>
      </c>
      <c r="CJ64" s="301" t="str">
        <f>IF(ISERROR(CI64/CI53),"",CI64/CI53)</f>
        <v/>
      </c>
      <c r="CK64" s="251">
        <f t="shared" si="43"/>
        <v>0</v>
      </c>
      <c r="CL64" s="125"/>
      <c r="CM64" s="127"/>
      <c r="CN64" s="250">
        <f>CN57-CN63</f>
        <v>0</v>
      </c>
      <c r="CO64" s="301" t="str">
        <f>IF(ISERROR(CN64/CN53),"",CN64/CN53)</f>
        <v/>
      </c>
      <c r="CP64" s="390">
        <f>CP57-CP63</f>
        <v>0</v>
      </c>
      <c r="CQ64" s="389" t="str">
        <f>IF(ISERROR(CP64/CP53),"",CP64/CP53)</f>
        <v/>
      </c>
      <c r="CR64" s="390">
        <f t="shared" si="23"/>
        <v>0</v>
      </c>
      <c r="CS64" s="125"/>
      <c r="CT64" s="250">
        <f>CT57-CT63</f>
        <v>0</v>
      </c>
      <c r="CU64" s="301" t="str">
        <f>IF(ISERROR(CT64/CT53),"",CT64/CT53)</f>
        <v/>
      </c>
      <c r="CV64" s="390">
        <f>CV57-CV63</f>
        <v>0</v>
      </c>
      <c r="CW64" s="389" t="str">
        <f>IF(ISERROR(CV64/CV53),"",CV64/CV53)</f>
        <v/>
      </c>
      <c r="CX64" s="390">
        <f t="shared" si="24"/>
        <v>0</v>
      </c>
      <c r="CY64" s="125"/>
      <c r="CZ64" s="250">
        <f>CZ57-CZ63</f>
        <v>0</v>
      </c>
      <c r="DA64" s="301" t="str">
        <f>IF(ISERROR(CZ64/CZ53),"",CZ64/CZ53)</f>
        <v/>
      </c>
      <c r="DB64" s="390">
        <f>DB57-DB63</f>
        <v>0</v>
      </c>
      <c r="DC64" s="389" t="str">
        <f>IF(ISERROR(DB64/DB53),"",DB64/DB53)</f>
        <v/>
      </c>
      <c r="DD64" s="390">
        <f t="shared" si="25"/>
        <v>0</v>
      </c>
      <c r="DE64" s="125"/>
      <c r="DF64" s="250">
        <f t="shared" si="44"/>
        <v>0</v>
      </c>
      <c r="DG64" s="301" t="str">
        <f>IF(ISERROR(DF64/DF53),"",DF64/DF53)</f>
        <v/>
      </c>
      <c r="DH64" s="251">
        <f t="shared" si="45"/>
        <v>0</v>
      </c>
      <c r="DI64" s="301" t="str">
        <f>IF(ISERROR(DH64/DH53),"",DH64/DH53)</f>
        <v/>
      </c>
      <c r="DJ64" s="251">
        <f t="shared" si="46"/>
        <v>0</v>
      </c>
      <c r="DK64" s="18"/>
    </row>
    <row r="65" spans="1:115" s="3" customFormat="1" ht="21.75" customHeight="1" outlineLevel="1" thickTop="1" thickBot="1" x14ac:dyDescent="0.3">
      <c r="A65" s="80">
        <v>56</v>
      </c>
      <c r="B65" s="618"/>
      <c r="C65" s="761"/>
      <c r="D65" s="660" t="s">
        <v>76</v>
      </c>
      <c r="E65" s="573" t="s">
        <v>61</v>
      </c>
      <c r="F65" s="574"/>
      <c r="G65" s="574"/>
      <c r="H65" s="574"/>
      <c r="I65" s="575"/>
      <c r="J65" s="228">
        <f t="shared" si="29"/>
        <v>0</v>
      </c>
      <c r="K65" s="295" t="str">
        <f>IF(ISERROR(J65/J14),"",J65/J14)</f>
        <v/>
      </c>
      <c r="L65" s="229">
        <f t="shared" si="30"/>
        <v>0</v>
      </c>
      <c r="M65" s="295" t="str">
        <f>IF(ISERROR(L65/L14),"",L65/L14)</f>
        <v/>
      </c>
      <c r="N65" s="206">
        <f t="shared" si="31"/>
        <v>0</v>
      </c>
      <c r="O65" s="43" t="e">
        <f t="shared" si="32"/>
        <v>#VALUE!</v>
      </c>
      <c r="P65" s="47"/>
      <c r="Q65" s="504"/>
      <c r="R65" s="496" t="str">
        <f>IF(ISERROR(Q65/Q14),"",Q65/Q14)</f>
        <v/>
      </c>
      <c r="S65" s="375"/>
      <c r="T65" s="356" t="str">
        <f>IF(ISERROR(S65/S14),"",S65/S14)</f>
        <v/>
      </c>
      <c r="U65" s="355">
        <f t="shared" si="33"/>
        <v>0</v>
      </c>
      <c r="V65" s="96"/>
      <c r="W65" s="504"/>
      <c r="X65" s="496" t="str">
        <f>IF(ISERROR(W65/W14),"",W65/W14)</f>
        <v/>
      </c>
      <c r="Y65" s="375"/>
      <c r="Z65" s="356" t="str">
        <f>IF(ISERROR(Y65/Y14),"",Y65/Y14)</f>
        <v/>
      </c>
      <c r="AA65" s="355">
        <f t="shared" si="5"/>
        <v>0</v>
      </c>
      <c r="AB65" s="96"/>
      <c r="AC65" s="504"/>
      <c r="AD65" s="496" t="str">
        <f>IF(ISERROR(AC65/AC14),"",AC65/AC14)</f>
        <v/>
      </c>
      <c r="AE65" s="375"/>
      <c r="AF65" s="356" t="str">
        <f>IF(ISERROR(AE65/AE14),"",AE65/AE14)</f>
        <v/>
      </c>
      <c r="AG65" s="355">
        <f t="shared" si="6"/>
        <v>0</v>
      </c>
      <c r="AH65" s="97" t="e">
        <f t="shared" si="34"/>
        <v>#VALUE!</v>
      </c>
      <c r="AI65" s="285">
        <f t="shared" si="35"/>
        <v>0</v>
      </c>
      <c r="AJ65" s="295" t="str">
        <f>IF(ISERROR(AI65/AI14),"",AI65/AI14)</f>
        <v/>
      </c>
      <c r="AK65" s="229">
        <f t="shared" si="36"/>
        <v>0</v>
      </c>
      <c r="AL65" s="295" t="str">
        <f>IF(ISERROR(AK65/AK14),"",AK65/AK14)</f>
        <v/>
      </c>
      <c r="AM65" s="229">
        <f t="shared" si="37"/>
        <v>0</v>
      </c>
      <c r="AN65" s="96"/>
      <c r="AO65" s="99"/>
      <c r="AP65" s="504"/>
      <c r="AQ65" s="496" t="str">
        <f>IF(ISERROR(AP65/AP14),"",AP65/AP14)</f>
        <v/>
      </c>
      <c r="AR65" s="375"/>
      <c r="AS65" s="356" t="str">
        <f>IF(ISERROR(AR65/AR14),"",AR65/AR14)</f>
        <v/>
      </c>
      <c r="AT65" s="355">
        <f t="shared" si="11"/>
        <v>0</v>
      </c>
      <c r="AU65" s="96"/>
      <c r="AV65" s="504"/>
      <c r="AW65" s="496" t="str">
        <f>IF(ISERROR(AV65/AV14),"",AV65/AV14)</f>
        <v/>
      </c>
      <c r="AX65" s="375"/>
      <c r="AY65" s="356" t="str">
        <f>IF(ISERROR(AX65/AX14),"",AX65/AX14)</f>
        <v/>
      </c>
      <c r="AZ65" s="355">
        <f t="shared" si="12"/>
        <v>0</v>
      </c>
      <c r="BA65" s="96"/>
      <c r="BB65" s="504"/>
      <c r="BC65" s="496" t="str">
        <f>IF(ISERROR(BB65/BB14),"",BB65/BB14)</f>
        <v/>
      </c>
      <c r="BD65" s="375"/>
      <c r="BE65" s="356" t="str">
        <f>IF(ISERROR(BD65/BD14),"",BD65/BD14)</f>
        <v/>
      </c>
      <c r="BF65" s="355">
        <f t="shared" si="13"/>
        <v>0</v>
      </c>
      <c r="BG65" s="96"/>
      <c r="BH65" s="285">
        <f t="shared" si="38"/>
        <v>0</v>
      </c>
      <c r="BI65" s="295" t="str">
        <f>IF(ISERROR(BH65/BH14),"",BH65/BH14)</f>
        <v/>
      </c>
      <c r="BJ65" s="229">
        <f t="shared" si="39"/>
        <v>0</v>
      </c>
      <c r="BK65" s="295" t="str">
        <f>IF(ISERROR(BJ65/BJ14),"",BJ65/BJ14)</f>
        <v/>
      </c>
      <c r="BL65" s="229">
        <f t="shared" si="40"/>
        <v>0</v>
      </c>
      <c r="BM65" s="96"/>
      <c r="BN65" s="99"/>
      <c r="BO65" s="504"/>
      <c r="BP65" s="496" t="str">
        <f>IF(ISERROR(BO65/BO14),"",BO65/BO14)</f>
        <v/>
      </c>
      <c r="BQ65" s="375"/>
      <c r="BR65" s="356" t="str">
        <f>IF(ISERROR(BQ65/BQ14),"",BQ65/BQ14)</f>
        <v/>
      </c>
      <c r="BS65" s="355">
        <f t="shared" si="17"/>
        <v>0</v>
      </c>
      <c r="BT65" s="96"/>
      <c r="BU65" s="504"/>
      <c r="BV65" s="496" t="str">
        <f>IF(ISERROR(BU65/BU14),"",BU65/BU14)</f>
        <v/>
      </c>
      <c r="BW65" s="375"/>
      <c r="BX65" s="356" t="str">
        <f>IF(ISERROR(BW65/BW14),"",BW65/BW14)</f>
        <v/>
      </c>
      <c r="BY65" s="355">
        <f t="shared" si="18"/>
        <v>0</v>
      </c>
      <c r="BZ65" s="96"/>
      <c r="CA65" s="504"/>
      <c r="CB65" s="496" t="str">
        <f>IF(ISERROR(CA65/CA14),"",CA65/CA14)</f>
        <v/>
      </c>
      <c r="CC65" s="375"/>
      <c r="CD65" s="356" t="str">
        <f>IF(ISERROR(CC65/CC14),"",CC65/CC14)</f>
        <v/>
      </c>
      <c r="CE65" s="355">
        <f t="shared" si="19"/>
        <v>0</v>
      </c>
      <c r="CF65" s="96"/>
      <c r="CG65" s="285">
        <f t="shared" si="41"/>
        <v>0</v>
      </c>
      <c r="CH65" s="295" t="str">
        <f>IF(ISERROR(CG65/CG14),"",CG65/CG14)</f>
        <v/>
      </c>
      <c r="CI65" s="229">
        <f t="shared" si="42"/>
        <v>0</v>
      </c>
      <c r="CJ65" s="295" t="str">
        <f>IF(ISERROR(CI65/CI14),"",CI65/CI14)</f>
        <v/>
      </c>
      <c r="CK65" s="229">
        <f t="shared" si="43"/>
        <v>0</v>
      </c>
      <c r="CL65" s="96"/>
      <c r="CM65" s="100"/>
      <c r="CN65" s="504"/>
      <c r="CO65" s="496" t="str">
        <f>IF(ISERROR(CN65/CN14),"",CN65/CN14)</f>
        <v/>
      </c>
      <c r="CP65" s="375"/>
      <c r="CQ65" s="356" t="str">
        <f>IF(ISERROR(CP65/CP14),"",CP65/CP14)</f>
        <v/>
      </c>
      <c r="CR65" s="355">
        <f t="shared" si="23"/>
        <v>0</v>
      </c>
      <c r="CS65" s="96"/>
      <c r="CT65" s="504"/>
      <c r="CU65" s="496" t="str">
        <f>IF(ISERROR(CT65/CT14),"",CT65/CT14)</f>
        <v/>
      </c>
      <c r="CV65" s="375"/>
      <c r="CW65" s="356" t="str">
        <f>IF(ISERROR(CV65/CV14),"",CV65/CV14)</f>
        <v/>
      </c>
      <c r="CX65" s="355">
        <f t="shared" si="24"/>
        <v>0</v>
      </c>
      <c r="CY65" s="96"/>
      <c r="CZ65" s="504"/>
      <c r="DA65" s="496" t="str">
        <f>IF(ISERROR(CZ65/CZ14),"",CZ65/CZ14)</f>
        <v/>
      </c>
      <c r="DB65" s="375"/>
      <c r="DC65" s="356" t="str">
        <f>IF(ISERROR(DB65/DB14),"",DB65/DB14)</f>
        <v/>
      </c>
      <c r="DD65" s="355">
        <f t="shared" si="25"/>
        <v>0</v>
      </c>
      <c r="DE65" s="96"/>
      <c r="DF65" s="285">
        <f t="shared" si="44"/>
        <v>0</v>
      </c>
      <c r="DG65" s="295" t="str">
        <f>IF(ISERROR(DF65/DF14),"",DF65/DF14)</f>
        <v/>
      </c>
      <c r="DH65" s="229">
        <f t="shared" si="45"/>
        <v>0</v>
      </c>
      <c r="DI65" s="295" t="str">
        <f>IF(ISERROR(DH65/DH14),"",DH65/DH14)</f>
        <v/>
      </c>
      <c r="DJ65" s="229">
        <f t="shared" si="46"/>
        <v>0</v>
      </c>
      <c r="DK65" s="7"/>
    </row>
    <row r="66" spans="1:115" s="3" customFormat="1" ht="21.75" customHeight="1" outlineLevel="1" thickTop="1" thickBot="1" x14ac:dyDescent="0.3">
      <c r="A66" s="80">
        <v>57</v>
      </c>
      <c r="B66" s="618"/>
      <c r="C66" s="761"/>
      <c r="D66" s="661"/>
      <c r="E66" s="85"/>
      <c r="F66" s="662" t="s">
        <v>77</v>
      </c>
      <c r="G66" s="658"/>
      <c r="H66" s="658"/>
      <c r="I66" s="659"/>
      <c r="J66" s="252">
        <f t="shared" si="29"/>
        <v>0</v>
      </c>
      <c r="K66" s="302" t="str">
        <f>IF(ISERROR(J66/(J65+J66)),"",J66/(J65+J66))</f>
        <v/>
      </c>
      <c r="L66" s="253">
        <f t="shared" si="30"/>
        <v>0</v>
      </c>
      <c r="M66" s="302" t="str">
        <f>IF(ISERROR(L66/(L65+L66)),"",L66/(L65+L66))</f>
        <v/>
      </c>
      <c r="N66" s="218">
        <f t="shared" si="31"/>
        <v>0</v>
      </c>
      <c r="O66" s="57" t="e">
        <f t="shared" si="32"/>
        <v>#VALUE!</v>
      </c>
      <c r="P66" s="47"/>
      <c r="Q66" s="391">
        <f>IF(ISERROR(Q65*R66),"",Q65*R66)</f>
        <v>0</v>
      </c>
      <c r="R66" s="506"/>
      <c r="S66" s="369"/>
      <c r="T66" s="392" t="str">
        <f>IF(ISERROR(S66/(S65+S66)),"",S66/(S65+S66))</f>
        <v/>
      </c>
      <c r="U66" s="367">
        <f t="shared" si="33"/>
        <v>0</v>
      </c>
      <c r="V66" s="128"/>
      <c r="W66" s="391">
        <f>IF(ISERROR(W65*X66),"",W65*X66)</f>
        <v>0</v>
      </c>
      <c r="X66" s="506"/>
      <c r="Y66" s="369"/>
      <c r="Z66" s="392" t="str">
        <f>IF(ISERROR(Y66/(Y65+Y66)),"",Y66/(Y65+Y66))</f>
        <v/>
      </c>
      <c r="AA66" s="367">
        <f t="shared" si="5"/>
        <v>0</v>
      </c>
      <c r="AB66" s="128"/>
      <c r="AC66" s="391">
        <f>IF(ISERROR(AC65*AD66),"",AC65*AD66)</f>
        <v>0</v>
      </c>
      <c r="AD66" s="506"/>
      <c r="AE66" s="369"/>
      <c r="AF66" s="392" t="str">
        <f>IF(ISERROR(AE66/(AE65+AE66)),"",AE66/(AE65+AE66))</f>
        <v/>
      </c>
      <c r="AG66" s="367">
        <f t="shared" si="6"/>
        <v>0</v>
      </c>
      <c r="AH66" s="129" t="e">
        <f t="shared" si="34"/>
        <v>#VALUE!</v>
      </c>
      <c r="AI66" s="291">
        <f t="shared" si="35"/>
        <v>0</v>
      </c>
      <c r="AJ66" s="302" t="str">
        <f>IF(ISERROR(AI66/(AI65+AI66)),"",AI66/(AI65+AI66))</f>
        <v/>
      </c>
      <c r="AK66" s="253">
        <f t="shared" si="36"/>
        <v>0</v>
      </c>
      <c r="AL66" s="302" t="str">
        <f>IF(ISERROR(AK66/(AK65+AK66)),"",AK66/(AK65+AK66))</f>
        <v/>
      </c>
      <c r="AM66" s="253">
        <f t="shared" si="37"/>
        <v>0</v>
      </c>
      <c r="AN66" s="128"/>
      <c r="AO66" s="99"/>
      <c r="AP66" s="391">
        <f>IF(ISERROR(AP65*AQ66),"",AP65*AQ66)</f>
        <v>0</v>
      </c>
      <c r="AQ66" s="506"/>
      <c r="AR66" s="369"/>
      <c r="AS66" s="392" t="str">
        <f>IF(ISERROR(AR66/(AR65+AR66)),"",AR66/(AR65+AR66))</f>
        <v/>
      </c>
      <c r="AT66" s="367">
        <f t="shared" si="11"/>
        <v>0</v>
      </c>
      <c r="AU66" s="128"/>
      <c r="AV66" s="391">
        <f>IF(ISERROR(AV65*AW66),"",AV65*AW66)</f>
        <v>0</v>
      </c>
      <c r="AW66" s="506"/>
      <c r="AX66" s="369"/>
      <c r="AY66" s="392" t="str">
        <f>IF(ISERROR(AX66/(AX65+AX66)),"",AX66/(AX65+AX66))</f>
        <v/>
      </c>
      <c r="AZ66" s="367">
        <f t="shared" si="12"/>
        <v>0</v>
      </c>
      <c r="BA66" s="128"/>
      <c r="BB66" s="391">
        <f>IF(ISERROR(BB65*BC66),"",BB65*BC66)</f>
        <v>0</v>
      </c>
      <c r="BC66" s="506"/>
      <c r="BD66" s="369"/>
      <c r="BE66" s="392" t="str">
        <f>IF(ISERROR(BD66/(BD65+BD66)),"",BD66/(BD65+BD66))</f>
        <v/>
      </c>
      <c r="BF66" s="367">
        <f t="shared" si="13"/>
        <v>0</v>
      </c>
      <c r="BG66" s="128"/>
      <c r="BH66" s="291">
        <f t="shared" si="38"/>
        <v>0</v>
      </c>
      <c r="BI66" s="302" t="str">
        <f>IF(ISERROR(BH66/(BH65+BH66)),"",BH66/(BH65+BH66))</f>
        <v/>
      </c>
      <c r="BJ66" s="253">
        <f t="shared" si="39"/>
        <v>0</v>
      </c>
      <c r="BK66" s="302" t="str">
        <f>IF(ISERROR(BJ66/(BJ65+BJ66)),"",BJ66/(BJ65+BJ66))</f>
        <v/>
      </c>
      <c r="BL66" s="253">
        <f t="shared" si="40"/>
        <v>0</v>
      </c>
      <c r="BM66" s="128"/>
      <c r="BN66" s="99"/>
      <c r="BO66" s="391">
        <f>IF(ISERROR(BO65*BP66),"",BO65*BP66)</f>
        <v>0</v>
      </c>
      <c r="BP66" s="506"/>
      <c r="BQ66" s="369"/>
      <c r="BR66" s="392" t="str">
        <f>IF(ISERROR(BQ66/(BQ65+BQ66)),"",BQ66/(BQ65+BQ66))</f>
        <v/>
      </c>
      <c r="BS66" s="367">
        <f t="shared" si="17"/>
        <v>0</v>
      </c>
      <c r="BT66" s="128"/>
      <c r="BU66" s="391">
        <f>IF(ISERROR(BU65*BV66),"",BU65*BV66)</f>
        <v>0</v>
      </c>
      <c r="BV66" s="506"/>
      <c r="BW66" s="369"/>
      <c r="BX66" s="392" t="str">
        <f>IF(ISERROR(BW66/(BW65+BW66)),"",BW66/(BW65+BW66))</f>
        <v/>
      </c>
      <c r="BY66" s="367">
        <f t="shared" si="18"/>
        <v>0</v>
      </c>
      <c r="BZ66" s="128"/>
      <c r="CA66" s="391">
        <f>IF(ISERROR(CA65*CB66),"",CA65*CB66)</f>
        <v>0</v>
      </c>
      <c r="CB66" s="506"/>
      <c r="CC66" s="369"/>
      <c r="CD66" s="392" t="str">
        <f>IF(ISERROR(CC66/(CC65+CC66)),"",CC66/(CC65+CC66))</f>
        <v/>
      </c>
      <c r="CE66" s="367">
        <f t="shared" si="19"/>
        <v>0</v>
      </c>
      <c r="CF66" s="128"/>
      <c r="CG66" s="291">
        <f t="shared" si="41"/>
        <v>0</v>
      </c>
      <c r="CH66" s="302" t="str">
        <f>IF(ISERROR(CG66/(CG65+CG66)),"",CG66/(CG65+CG66))</f>
        <v/>
      </c>
      <c r="CI66" s="253">
        <f t="shared" si="42"/>
        <v>0</v>
      </c>
      <c r="CJ66" s="302" t="str">
        <f>IF(ISERROR(CI66/(CI65+CI66)),"",CI66/(CI65+CI66))</f>
        <v/>
      </c>
      <c r="CK66" s="253">
        <f t="shared" si="43"/>
        <v>0</v>
      </c>
      <c r="CL66" s="128"/>
      <c r="CM66" s="100"/>
      <c r="CN66" s="391">
        <f>IF(ISERROR(CN65*CO66),"",CN65*CO66)</f>
        <v>0</v>
      </c>
      <c r="CO66" s="506"/>
      <c r="CP66" s="369"/>
      <c r="CQ66" s="392" t="str">
        <f>IF(ISERROR(CP66/(CP65+CP66)),"",CP66/(CP65+CP66))</f>
        <v/>
      </c>
      <c r="CR66" s="367">
        <f t="shared" si="23"/>
        <v>0</v>
      </c>
      <c r="CS66" s="128"/>
      <c r="CT66" s="391">
        <f>IF(ISERROR(CT65*CU66),"",CT65*CU66)</f>
        <v>0</v>
      </c>
      <c r="CU66" s="506"/>
      <c r="CV66" s="369"/>
      <c r="CW66" s="392" t="str">
        <f>IF(ISERROR(CV66/(CV65+CV66)),"",CV66/(CV65+CV66))</f>
        <v/>
      </c>
      <c r="CX66" s="367">
        <f t="shared" si="24"/>
        <v>0</v>
      </c>
      <c r="CY66" s="128"/>
      <c r="CZ66" s="391">
        <f>IF(ISERROR(CZ65*DA66),"",CZ65*DA66)</f>
        <v>0</v>
      </c>
      <c r="DA66" s="506"/>
      <c r="DB66" s="369"/>
      <c r="DC66" s="392" t="str">
        <f>IF(ISERROR(DB66/(DB65+DB66)),"",DB66/(DB65+DB66))</f>
        <v/>
      </c>
      <c r="DD66" s="367">
        <f t="shared" si="25"/>
        <v>0</v>
      </c>
      <c r="DE66" s="128"/>
      <c r="DF66" s="291">
        <f t="shared" si="44"/>
        <v>0</v>
      </c>
      <c r="DG66" s="302" t="str">
        <f>IF(ISERROR(DF66/(DF65+DF66)),"",DF66/(DF65+DF66))</f>
        <v/>
      </c>
      <c r="DH66" s="253">
        <f t="shared" si="45"/>
        <v>0</v>
      </c>
      <c r="DI66" s="302" t="str">
        <f>IF(ISERROR(DH66/(DH65+DH66)),"",DH66/(DH65+DH66))</f>
        <v/>
      </c>
      <c r="DJ66" s="253">
        <f t="shared" si="46"/>
        <v>0</v>
      </c>
      <c r="DK66" s="19"/>
    </row>
    <row r="67" spans="1:115" s="3" customFormat="1" ht="21.75" customHeight="1" outlineLevel="1" thickTop="1" thickBot="1" x14ac:dyDescent="0.3">
      <c r="A67" s="80">
        <v>58</v>
      </c>
      <c r="B67" s="618"/>
      <c r="C67" s="761"/>
      <c r="D67" s="661"/>
      <c r="E67" s="663" t="s">
        <v>78</v>
      </c>
      <c r="F67" s="664" t="s">
        <v>79</v>
      </c>
      <c r="G67" s="665"/>
      <c r="H67" s="665"/>
      <c r="I67" s="666"/>
      <c r="J67" s="236">
        <f t="shared" si="29"/>
        <v>0</v>
      </c>
      <c r="K67" s="299" t="str">
        <f>IFERROR(J67/J12,"")</f>
        <v/>
      </c>
      <c r="L67" s="237">
        <f t="shared" si="30"/>
        <v>0</v>
      </c>
      <c r="M67" s="299" t="str">
        <f>IFERROR(L67/L12,"")</f>
        <v/>
      </c>
      <c r="N67" s="210">
        <f t="shared" si="31"/>
        <v>0</v>
      </c>
      <c r="O67" s="49" t="e">
        <f t="shared" si="32"/>
        <v>#VALUE!</v>
      </c>
      <c r="P67" s="47"/>
      <c r="Q67" s="504"/>
      <c r="R67" s="366" t="str">
        <f>IFERROR(Q67/Q12,"")</f>
        <v/>
      </c>
      <c r="S67" s="367"/>
      <c r="T67" s="368" t="str">
        <f>IFERROR(S67/S12,"")</f>
        <v/>
      </c>
      <c r="U67" s="367">
        <f t="shared" si="33"/>
        <v>0</v>
      </c>
      <c r="V67" s="110"/>
      <c r="W67" s="504"/>
      <c r="X67" s="366" t="str">
        <f>IFERROR(W67/W12,"")</f>
        <v/>
      </c>
      <c r="Y67" s="367"/>
      <c r="Z67" s="368" t="str">
        <f>IFERROR(Y67/Y12,"")</f>
        <v/>
      </c>
      <c r="AA67" s="367">
        <f t="shared" si="5"/>
        <v>0</v>
      </c>
      <c r="AB67" s="110"/>
      <c r="AC67" s="504"/>
      <c r="AD67" s="366" t="str">
        <f>IFERROR(AC67/AC12,"")</f>
        <v/>
      </c>
      <c r="AE67" s="367"/>
      <c r="AF67" s="368" t="str">
        <f>IFERROR(AE67/AE12,"")</f>
        <v/>
      </c>
      <c r="AG67" s="367">
        <f t="shared" si="6"/>
        <v>0</v>
      </c>
      <c r="AH67" s="111" t="e">
        <f t="shared" si="34"/>
        <v>#VALUE!</v>
      </c>
      <c r="AI67" s="289">
        <f t="shared" si="35"/>
        <v>0</v>
      </c>
      <c r="AJ67" s="299" t="str">
        <f>IFERROR(AI67/AI12,"")</f>
        <v/>
      </c>
      <c r="AK67" s="237">
        <f t="shared" si="36"/>
        <v>0</v>
      </c>
      <c r="AL67" s="299" t="str">
        <f>IFERROR(AK67/AK12,"")</f>
        <v/>
      </c>
      <c r="AM67" s="237">
        <f t="shared" si="37"/>
        <v>0</v>
      </c>
      <c r="AN67" s="110"/>
      <c r="AO67" s="99"/>
      <c r="AP67" s="504"/>
      <c r="AQ67" s="366" t="str">
        <f>IFERROR(AP67/AP12,"")</f>
        <v/>
      </c>
      <c r="AR67" s="367"/>
      <c r="AS67" s="368" t="str">
        <f>IFERROR(AR67/AR12,"")</f>
        <v/>
      </c>
      <c r="AT67" s="367">
        <f t="shared" si="11"/>
        <v>0</v>
      </c>
      <c r="AU67" s="110"/>
      <c r="AV67" s="504"/>
      <c r="AW67" s="366" t="str">
        <f>IFERROR(AV67/AV12,"")</f>
        <v/>
      </c>
      <c r="AX67" s="367"/>
      <c r="AY67" s="368" t="str">
        <f>IFERROR(AX67/AX12,"")</f>
        <v/>
      </c>
      <c r="AZ67" s="367">
        <f t="shared" si="12"/>
        <v>0</v>
      </c>
      <c r="BA67" s="110"/>
      <c r="BB67" s="504"/>
      <c r="BC67" s="366" t="str">
        <f>IFERROR(BB67/BB12,"")</f>
        <v/>
      </c>
      <c r="BD67" s="367"/>
      <c r="BE67" s="368" t="str">
        <f>IFERROR(BD67/BD12,"")</f>
        <v/>
      </c>
      <c r="BF67" s="367">
        <f t="shared" si="13"/>
        <v>0</v>
      </c>
      <c r="BG67" s="110"/>
      <c r="BH67" s="289">
        <f t="shared" si="38"/>
        <v>0</v>
      </c>
      <c r="BI67" s="299" t="str">
        <f>IFERROR(BH67/BH12,"")</f>
        <v/>
      </c>
      <c r="BJ67" s="237">
        <f t="shared" si="39"/>
        <v>0</v>
      </c>
      <c r="BK67" s="299" t="str">
        <f>IFERROR(BJ67/BJ12,"")</f>
        <v/>
      </c>
      <c r="BL67" s="237">
        <f t="shared" si="40"/>
        <v>0</v>
      </c>
      <c r="BM67" s="110"/>
      <c r="BN67" s="99"/>
      <c r="BO67" s="504"/>
      <c r="BP67" s="366" t="str">
        <f>IFERROR(BO67/BO12,"")</f>
        <v/>
      </c>
      <c r="BQ67" s="367"/>
      <c r="BR67" s="368" t="str">
        <f>IFERROR(BQ67/BQ12,"")</f>
        <v/>
      </c>
      <c r="BS67" s="367">
        <f t="shared" si="17"/>
        <v>0</v>
      </c>
      <c r="BT67" s="110"/>
      <c r="BU67" s="504"/>
      <c r="BV67" s="366" t="str">
        <f>IFERROR(BU67/BU12,"")</f>
        <v/>
      </c>
      <c r="BW67" s="367"/>
      <c r="BX67" s="368" t="str">
        <f>IFERROR(BW67/BW12,"")</f>
        <v/>
      </c>
      <c r="BY67" s="367">
        <f t="shared" si="18"/>
        <v>0</v>
      </c>
      <c r="BZ67" s="110"/>
      <c r="CA67" s="504"/>
      <c r="CB67" s="366" t="str">
        <f>IFERROR(CA67/CA12,"")</f>
        <v/>
      </c>
      <c r="CC67" s="367"/>
      <c r="CD67" s="368" t="str">
        <f>IFERROR(CC67/CC12,"")</f>
        <v/>
      </c>
      <c r="CE67" s="367">
        <f t="shared" si="19"/>
        <v>0</v>
      </c>
      <c r="CF67" s="110"/>
      <c r="CG67" s="289">
        <f t="shared" si="41"/>
        <v>0</v>
      </c>
      <c r="CH67" s="299" t="str">
        <f>IFERROR(CG67/CG12,"")</f>
        <v/>
      </c>
      <c r="CI67" s="237">
        <f t="shared" si="42"/>
        <v>0</v>
      </c>
      <c r="CJ67" s="299" t="str">
        <f>IFERROR(CI67/CI12,"")</f>
        <v/>
      </c>
      <c r="CK67" s="237">
        <f t="shared" si="43"/>
        <v>0</v>
      </c>
      <c r="CL67" s="110"/>
      <c r="CM67" s="100"/>
      <c r="CN67" s="504"/>
      <c r="CO67" s="366" t="str">
        <f>IFERROR(CN67/CN12,"")</f>
        <v/>
      </c>
      <c r="CP67" s="367"/>
      <c r="CQ67" s="368" t="str">
        <f>IFERROR(CP67/CP12,"")</f>
        <v/>
      </c>
      <c r="CR67" s="367">
        <f t="shared" si="23"/>
        <v>0</v>
      </c>
      <c r="CS67" s="110"/>
      <c r="CT67" s="504"/>
      <c r="CU67" s="366" t="str">
        <f>IFERROR(CT67/CT12,"")</f>
        <v/>
      </c>
      <c r="CV67" s="367"/>
      <c r="CW67" s="368" t="str">
        <f>IFERROR(CV67/CV12,"")</f>
        <v/>
      </c>
      <c r="CX67" s="367">
        <f t="shared" si="24"/>
        <v>0</v>
      </c>
      <c r="CY67" s="110"/>
      <c r="CZ67" s="504"/>
      <c r="DA67" s="366" t="str">
        <f>IFERROR(CZ67/CZ12,"")</f>
        <v/>
      </c>
      <c r="DB67" s="367"/>
      <c r="DC67" s="368" t="str">
        <f>IFERROR(DB67/DB12,"")</f>
        <v/>
      </c>
      <c r="DD67" s="367">
        <f t="shared" si="25"/>
        <v>0</v>
      </c>
      <c r="DE67" s="110"/>
      <c r="DF67" s="289">
        <f t="shared" si="44"/>
        <v>0</v>
      </c>
      <c r="DG67" s="299" t="str">
        <f>IFERROR(DF67/DF12,"")</f>
        <v/>
      </c>
      <c r="DH67" s="237">
        <f t="shared" si="45"/>
        <v>0</v>
      </c>
      <c r="DI67" s="299" t="str">
        <f>IFERROR(DH67/DH12,"")</f>
        <v/>
      </c>
      <c r="DJ67" s="237">
        <f t="shared" si="46"/>
        <v>0</v>
      </c>
      <c r="DK67" s="11"/>
    </row>
    <row r="68" spans="1:115" s="3" customFormat="1" ht="21.75" customHeight="1" outlineLevel="1" thickTop="1" thickBot="1" x14ac:dyDescent="0.3">
      <c r="A68" s="80">
        <v>59</v>
      </c>
      <c r="B68" s="618"/>
      <c r="C68" s="761"/>
      <c r="D68" s="661"/>
      <c r="E68" s="656"/>
      <c r="F68" s="657" t="s">
        <v>80</v>
      </c>
      <c r="G68" s="658"/>
      <c r="H68" s="658"/>
      <c r="I68" s="659"/>
      <c r="J68" s="230">
        <f t="shared" si="29"/>
        <v>0</v>
      </c>
      <c r="K68" s="296" t="str">
        <f>IF(ISERROR(J68/J67),"",J68/J67)</f>
        <v/>
      </c>
      <c r="L68" s="231">
        <f t="shared" si="30"/>
        <v>0</v>
      </c>
      <c r="M68" s="296" t="str">
        <f>IF(ISERROR(L68/L67),"",L68/L67)</f>
        <v/>
      </c>
      <c r="N68" s="207">
        <f t="shared" si="31"/>
        <v>0</v>
      </c>
      <c r="O68" s="45" t="e">
        <f t="shared" si="32"/>
        <v>#VALUE!</v>
      </c>
      <c r="P68" s="47"/>
      <c r="Q68" s="391">
        <f>IF(ISERROR(R68*Q67),"",R68*Q67)</f>
        <v>0</v>
      </c>
      <c r="R68" s="505"/>
      <c r="S68" s="371"/>
      <c r="T68" s="359" t="str">
        <f>IF(ISERROR(S68/S67),"",S68/S67)</f>
        <v/>
      </c>
      <c r="U68" s="358">
        <f t="shared" si="33"/>
        <v>0</v>
      </c>
      <c r="V68" s="102"/>
      <c r="W68" s="391">
        <f>IF(ISERROR(X68*W67),"",X68*W67)</f>
        <v>0</v>
      </c>
      <c r="X68" s="505"/>
      <c r="Y68" s="371"/>
      <c r="Z68" s="359" t="str">
        <f>IF(ISERROR(Y68/Y67),"",Y68/Y67)</f>
        <v/>
      </c>
      <c r="AA68" s="358">
        <f t="shared" si="5"/>
        <v>0</v>
      </c>
      <c r="AB68" s="102"/>
      <c r="AC68" s="391">
        <f>IF(ISERROR(AD68*AC67),"",AD68*AC67)</f>
        <v>0</v>
      </c>
      <c r="AD68" s="505"/>
      <c r="AE68" s="371"/>
      <c r="AF68" s="359" t="str">
        <f>IF(ISERROR(AE68/AE67),"",AE68/AE67)</f>
        <v/>
      </c>
      <c r="AG68" s="358">
        <f t="shared" si="6"/>
        <v>0</v>
      </c>
      <c r="AH68" s="103" t="e">
        <f t="shared" si="34"/>
        <v>#VALUE!</v>
      </c>
      <c r="AI68" s="286">
        <f t="shared" si="35"/>
        <v>0</v>
      </c>
      <c r="AJ68" s="296" t="str">
        <f>IF(ISERROR(AI68/AI67),"",AI68/AI67)</f>
        <v/>
      </c>
      <c r="AK68" s="231">
        <f t="shared" si="36"/>
        <v>0</v>
      </c>
      <c r="AL68" s="296" t="str">
        <f>IF(ISERROR(AK68/AK67),"",AK68/AK67)</f>
        <v/>
      </c>
      <c r="AM68" s="231">
        <f t="shared" si="37"/>
        <v>0</v>
      </c>
      <c r="AN68" s="102"/>
      <c r="AO68" s="99"/>
      <c r="AP68" s="391">
        <f>IF(ISERROR(AQ68*AP67),"",AQ68*AP67)</f>
        <v>0</v>
      </c>
      <c r="AQ68" s="505"/>
      <c r="AR68" s="371"/>
      <c r="AS68" s="359" t="str">
        <f>IF(ISERROR(AR68/AR67),"",AR68/AR67)</f>
        <v/>
      </c>
      <c r="AT68" s="358">
        <f t="shared" si="11"/>
        <v>0</v>
      </c>
      <c r="AU68" s="102"/>
      <c r="AV68" s="391">
        <f>IF(ISERROR(AW68*AV67),"",AW68*AV67)</f>
        <v>0</v>
      </c>
      <c r="AW68" s="505"/>
      <c r="AX68" s="371"/>
      <c r="AY68" s="359" t="str">
        <f>IF(ISERROR(AX68/AX67),"",AX68/AX67)</f>
        <v/>
      </c>
      <c r="AZ68" s="358">
        <f t="shared" si="12"/>
        <v>0</v>
      </c>
      <c r="BA68" s="102"/>
      <c r="BB68" s="391">
        <f>IF(ISERROR(BC68*BB67),"",BC68*BB67)</f>
        <v>0</v>
      </c>
      <c r="BC68" s="505"/>
      <c r="BD68" s="371"/>
      <c r="BE68" s="359" t="str">
        <f>IF(ISERROR(BD68/BD67),"",BD68/BD67)</f>
        <v/>
      </c>
      <c r="BF68" s="358">
        <f t="shared" si="13"/>
        <v>0</v>
      </c>
      <c r="BG68" s="102"/>
      <c r="BH68" s="286">
        <f t="shared" si="38"/>
        <v>0</v>
      </c>
      <c r="BI68" s="296" t="str">
        <f>IF(ISERROR(BH68/BH67),"",BH68/BH67)</f>
        <v/>
      </c>
      <c r="BJ68" s="231">
        <f t="shared" si="39"/>
        <v>0</v>
      </c>
      <c r="BK68" s="296" t="str">
        <f>IF(ISERROR(BJ68/BJ67),"",BJ68/BJ67)</f>
        <v/>
      </c>
      <c r="BL68" s="231">
        <f t="shared" si="40"/>
        <v>0</v>
      </c>
      <c r="BM68" s="102"/>
      <c r="BN68" s="99"/>
      <c r="BO68" s="391">
        <f>IF(ISERROR(BP68*BO67),"",BP68*BO67)</f>
        <v>0</v>
      </c>
      <c r="BP68" s="505"/>
      <c r="BQ68" s="371"/>
      <c r="BR68" s="359" t="str">
        <f>IF(ISERROR(BQ68/BQ67),"",BQ68/BQ67)</f>
        <v/>
      </c>
      <c r="BS68" s="358">
        <f t="shared" si="17"/>
        <v>0</v>
      </c>
      <c r="BT68" s="102"/>
      <c r="BU68" s="391">
        <f>IF(ISERROR(BV68*BU67),"",BV68*BU67)</f>
        <v>0</v>
      </c>
      <c r="BV68" s="505"/>
      <c r="BW68" s="371"/>
      <c r="BX68" s="359" t="str">
        <f>IF(ISERROR(BW68/BW67),"",BW68/BW67)</f>
        <v/>
      </c>
      <c r="BY68" s="358">
        <f t="shared" si="18"/>
        <v>0</v>
      </c>
      <c r="BZ68" s="102"/>
      <c r="CA68" s="391">
        <f>IF(ISERROR(CB68*CA67),"",CB68*CA67)</f>
        <v>0</v>
      </c>
      <c r="CB68" s="505"/>
      <c r="CC68" s="371"/>
      <c r="CD68" s="359" t="str">
        <f>IF(ISERROR(CC68/CC67),"",CC68/CC67)</f>
        <v/>
      </c>
      <c r="CE68" s="358">
        <f t="shared" si="19"/>
        <v>0</v>
      </c>
      <c r="CF68" s="102"/>
      <c r="CG68" s="286">
        <f t="shared" si="41"/>
        <v>0</v>
      </c>
      <c r="CH68" s="296" t="str">
        <f>IF(ISERROR(CG68/CG67),"",CG68/CG67)</f>
        <v/>
      </c>
      <c r="CI68" s="231">
        <f t="shared" si="42"/>
        <v>0</v>
      </c>
      <c r="CJ68" s="296" t="str">
        <f>IF(ISERROR(CI68/CI67),"",CI68/CI67)</f>
        <v/>
      </c>
      <c r="CK68" s="231">
        <f t="shared" si="43"/>
        <v>0</v>
      </c>
      <c r="CL68" s="102"/>
      <c r="CM68" s="100"/>
      <c r="CN68" s="391">
        <f>IF(ISERROR(CO68*CN67),"",CO68*CN67)</f>
        <v>0</v>
      </c>
      <c r="CO68" s="505"/>
      <c r="CP68" s="371"/>
      <c r="CQ68" s="359" t="str">
        <f>IF(ISERROR(CP68/CP67),"",CP68/CP67)</f>
        <v/>
      </c>
      <c r="CR68" s="358">
        <f t="shared" si="23"/>
        <v>0</v>
      </c>
      <c r="CS68" s="102"/>
      <c r="CT68" s="391">
        <f>IF(ISERROR(CU68*CT67),"",CU68*CT67)</f>
        <v>0</v>
      </c>
      <c r="CU68" s="505"/>
      <c r="CV68" s="371"/>
      <c r="CW68" s="359" t="str">
        <f>IF(ISERROR(CV68/CV67),"",CV68/CV67)</f>
        <v/>
      </c>
      <c r="CX68" s="358">
        <f t="shared" si="24"/>
        <v>0</v>
      </c>
      <c r="CY68" s="102"/>
      <c r="CZ68" s="391">
        <f>IF(ISERROR(DA68*CZ67),"",DA68*CZ67)</f>
        <v>0</v>
      </c>
      <c r="DA68" s="505"/>
      <c r="DB68" s="371"/>
      <c r="DC68" s="359" t="str">
        <f>IF(ISERROR(DB68/DB67),"",DB68/DB67)</f>
        <v/>
      </c>
      <c r="DD68" s="358">
        <f t="shared" si="25"/>
        <v>0</v>
      </c>
      <c r="DE68" s="102"/>
      <c r="DF68" s="286">
        <f t="shared" si="44"/>
        <v>0</v>
      </c>
      <c r="DG68" s="296" t="str">
        <f>IF(ISERROR(DF68/DF67),"",DF68/DF67)</f>
        <v/>
      </c>
      <c r="DH68" s="231">
        <f t="shared" si="45"/>
        <v>0</v>
      </c>
      <c r="DI68" s="296" t="str">
        <f>IF(ISERROR(DH68/DH67),"",DH68/DH67)</f>
        <v/>
      </c>
      <c r="DJ68" s="231">
        <f t="shared" si="46"/>
        <v>0</v>
      </c>
      <c r="DK68" s="8"/>
    </row>
    <row r="69" spans="1:115" s="3" customFormat="1" ht="21.75" customHeight="1" outlineLevel="1" thickTop="1" thickBot="1" x14ac:dyDescent="0.3">
      <c r="A69" s="80">
        <v>60</v>
      </c>
      <c r="B69" s="618"/>
      <c r="C69" s="761"/>
      <c r="D69" s="661"/>
      <c r="E69" s="655" t="s">
        <v>81</v>
      </c>
      <c r="F69" s="634" t="s">
        <v>79</v>
      </c>
      <c r="G69" s="635"/>
      <c r="H69" s="635"/>
      <c r="I69" s="636"/>
      <c r="J69" s="230">
        <f t="shared" si="29"/>
        <v>0</v>
      </c>
      <c r="K69" s="299" t="str">
        <f>IFERROR(J69/J14,"")</f>
        <v/>
      </c>
      <c r="L69" s="231">
        <f t="shared" si="30"/>
        <v>0</v>
      </c>
      <c r="M69" s="299" t="str">
        <f>IFERROR(L69/L14,"")</f>
        <v/>
      </c>
      <c r="N69" s="207">
        <f t="shared" si="31"/>
        <v>0</v>
      </c>
      <c r="O69" s="45" t="e">
        <f t="shared" si="32"/>
        <v>#VALUE!</v>
      </c>
      <c r="P69" s="47"/>
      <c r="Q69" s="504"/>
      <c r="R69" s="499"/>
      <c r="S69" s="371"/>
      <c r="T69" s="368" t="str">
        <f>IFERROR(S69/S14,"")</f>
        <v/>
      </c>
      <c r="U69" s="358">
        <f t="shared" si="33"/>
        <v>0</v>
      </c>
      <c r="V69" s="102"/>
      <c r="W69" s="504"/>
      <c r="X69" s="499"/>
      <c r="Y69" s="371"/>
      <c r="Z69" s="368" t="str">
        <f>IFERROR(Y69/Y14,"")</f>
        <v/>
      </c>
      <c r="AA69" s="358">
        <f t="shared" si="5"/>
        <v>0</v>
      </c>
      <c r="AB69" s="102"/>
      <c r="AC69" s="504"/>
      <c r="AD69" s="499"/>
      <c r="AE69" s="371"/>
      <c r="AF69" s="368" t="str">
        <f>IFERROR(AE69/AE14,"")</f>
        <v/>
      </c>
      <c r="AG69" s="358">
        <f t="shared" si="6"/>
        <v>0</v>
      </c>
      <c r="AH69" s="103" t="e">
        <f t="shared" si="34"/>
        <v>#VALUE!</v>
      </c>
      <c r="AI69" s="286">
        <f t="shared" si="35"/>
        <v>0</v>
      </c>
      <c r="AJ69" s="299" t="str">
        <f>IFERROR(AI69/AI14,"")</f>
        <v/>
      </c>
      <c r="AK69" s="231">
        <f t="shared" si="36"/>
        <v>0</v>
      </c>
      <c r="AL69" s="299" t="str">
        <f>IFERROR(AK69/AK14,"")</f>
        <v/>
      </c>
      <c r="AM69" s="231">
        <f t="shared" si="37"/>
        <v>0</v>
      </c>
      <c r="AN69" s="102"/>
      <c r="AO69" s="99"/>
      <c r="AP69" s="504"/>
      <c r="AQ69" s="499"/>
      <c r="AR69" s="371"/>
      <c r="AS69" s="368" t="str">
        <f>IFERROR(AR69/AR14,"")</f>
        <v/>
      </c>
      <c r="AT69" s="358">
        <f t="shared" si="11"/>
        <v>0</v>
      </c>
      <c r="AU69" s="102"/>
      <c r="AV69" s="504">
        <f>IF(ISERROR(AW69*AV14),"",AW69*AV14)</f>
        <v>0</v>
      </c>
      <c r="AW69" s="499"/>
      <c r="AX69" s="371"/>
      <c r="AY69" s="368" t="str">
        <f>IFERROR(AX69/AX14,"")</f>
        <v/>
      </c>
      <c r="AZ69" s="358">
        <f t="shared" si="12"/>
        <v>0</v>
      </c>
      <c r="BA69" s="102"/>
      <c r="BB69" s="504"/>
      <c r="BC69" s="499"/>
      <c r="BD69" s="371"/>
      <c r="BE69" s="368" t="str">
        <f>IFERROR(BD69/BD14,"")</f>
        <v/>
      </c>
      <c r="BF69" s="358">
        <f t="shared" si="13"/>
        <v>0</v>
      </c>
      <c r="BG69" s="102"/>
      <c r="BH69" s="286">
        <f t="shared" si="38"/>
        <v>0</v>
      </c>
      <c r="BI69" s="299" t="str">
        <f>IFERROR(BH69/BH14,"")</f>
        <v/>
      </c>
      <c r="BJ69" s="231">
        <f t="shared" si="39"/>
        <v>0</v>
      </c>
      <c r="BK69" s="299" t="str">
        <f>IFERROR(BJ69/BJ14,"")</f>
        <v/>
      </c>
      <c r="BL69" s="231">
        <f t="shared" si="40"/>
        <v>0</v>
      </c>
      <c r="BM69" s="102"/>
      <c r="BN69" s="99"/>
      <c r="BO69" s="504"/>
      <c r="BP69" s="499"/>
      <c r="BQ69" s="371"/>
      <c r="BR69" s="368" t="str">
        <f>IFERROR(BQ69/BQ14,"")</f>
        <v/>
      </c>
      <c r="BS69" s="358">
        <f t="shared" si="17"/>
        <v>0</v>
      </c>
      <c r="BT69" s="102"/>
      <c r="BU69" s="504"/>
      <c r="BV69" s="499"/>
      <c r="BW69" s="371"/>
      <c r="BX69" s="368" t="str">
        <f>IFERROR(BW69/BW14,"")</f>
        <v/>
      </c>
      <c r="BY69" s="358">
        <f t="shared" si="18"/>
        <v>0</v>
      </c>
      <c r="BZ69" s="102"/>
      <c r="CA69" s="504"/>
      <c r="CB69" s="499"/>
      <c r="CC69" s="371"/>
      <c r="CD69" s="368" t="str">
        <f>IFERROR(CC69/CC14,"")</f>
        <v/>
      </c>
      <c r="CE69" s="358">
        <f t="shared" si="19"/>
        <v>0</v>
      </c>
      <c r="CF69" s="102"/>
      <c r="CG69" s="286">
        <f t="shared" si="41"/>
        <v>0</v>
      </c>
      <c r="CH69" s="299" t="str">
        <f>IFERROR(CG69/CG14,"")</f>
        <v/>
      </c>
      <c r="CI69" s="231">
        <f t="shared" si="42"/>
        <v>0</v>
      </c>
      <c r="CJ69" s="299" t="str">
        <f>IFERROR(CI69/CI14,"")</f>
        <v/>
      </c>
      <c r="CK69" s="231">
        <f t="shared" si="43"/>
        <v>0</v>
      </c>
      <c r="CL69" s="102"/>
      <c r="CM69" s="100"/>
      <c r="CN69" s="504"/>
      <c r="CO69" s="499"/>
      <c r="CP69" s="371"/>
      <c r="CQ69" s="368" t="str">
        <f>IFERROR(CP69/CP14,"")</f>
        <v/>
      </c>
      <c r="CR69" s="358">
        <f t="shared" si="23"/>
        <v>0</v>
      </c>
      <c r="CS69" s="102"/>
      <c r="CT69" s="504"/>
      <c r="CU69" s="499"/>
      <c r="CV69" s="371"/>
      <c r="CW69" s="368" t="str">
        <f>IFERROR(CV69/CV14,"")</f>
        <v/>
      </c>
      <c r="CX69" s="358">
        <f t="shared" si="24"/>
        <v>0</v>
      </c>
      <c r="CY69" s="102"/>
      <c r="CZ69" s="504"/>
      <c r="DA69" s="499"/>
      <c r="DB69" s="371"/>
      <c r="DC69" s="368" t="str">
        <f>IFERROR(DB69/DB14,"")</f>
        <v/>
      </c>
      <c r="DD69" s="358">
        <f t="shared" si="25"/>
        <v>0</v>
      </c>
      <c r="DE69" s="102"/>
      <c r="DF69" s="286">
        <f t="shared" si="44"/>
        <v>0</v>
      </c>
      <c r="DG69" s="299" t="str">
        <f>IFERROR(DF69/DF14,"")</f>
        <v/>
      </c>
      <c r="DH69" s="231">
        <f t="shared" si="45"/>
        <v>0</v>
      </c>
      <c r="DI69" s="299" t="str">
        <f>IFERROR(DH69/DH14,"")</f>
        <v/>
      </c>
      <c r="DJ69" s="231">
        <f t="shared" si="46"/>
        <v>0</v>
      </c>
      <c r="DK69" s="8"/>
    </row>
    <row r="70" spans="1:115" s="3" customFormat="1" ht="21.75" customHeight="1" outlineLevel="1" thickTop="1" thickBot="1" x14ac:dyDescent="0.3">
      <c r="A70" s="80">
        <v>61</v>
      </c>
      <c r="B70" s="618"/>
      <c r="C70" s="761"/>
      <c r="D70" s="661"/>
      <c r="E70" s="656"/>
      <c r="F70" s="657" t="s">
        <v>80</v>
      </c>
      <c r="G70" s="658"/>
      <c r="H70" s="658"/>
      <c r="I70" s="659"/>
      <c r="J70" s="230">
        <f t="shared" si="29"/>
        <v>0</v>
      </c>
      <c r="K70" s="296" t="str">
        <f>IF(ISERROR(J70/J69),"",J70/J69)</f>
        <v/>
      </c>
      <c r="L70" s="231">
        <f t="shared" si="30"/>
        <v>0</v>
      </c>
      <c r="M70" s="296" t="str">
        <f>IF(ISERROR(L70/L69),"",L70/L69)</f>
        <v/>
      </c>
      <c r="N70" s="207">
        <f t="shared" si="31"/>
        <v>0</v>
      </c>
      <c r="O70" s="45" t="e">
        <f t="shared" si="32"/>
        <v>#VALUE!</v>
      </c>
      <c r="P70" s="47"/>
      <c r="Q70" s="391">
        <f>IF(ISERROR(R70*Q69),"",R70*Q69)</f>
        <v>0</v>
      </c>
      <c r="R70" s="505"/>
      <c r="S70" s="371"/>
      <c r="T70" s="359" t="str">
        <f>IF(ISERROR(S70/S69),"",S70/S69)</f>
        <v/>
      </c>
      <c r="U70" s="358">
        <f t="shared" si="33"/>
        <v>0</v>
      </c>
      <c r="V70" s="102"/>
      <c r="W70" s="391">
        <f>IF(ISERROR(X70*W69),"",X70*W69)</f>
        <v>0</v>
      </c>
      <c r="X70" s="505"/>
      <c r="Y70" s="371"/>
      <c r="Z70" s="359" t="str">
        <f>IF(ISERROR(Y70/Y69),"",Y70/Y69)</f>
        <v/>
      </c>
      <c r="AA70" s="358">
        <f t="shared" si="5"/>
        <v>0</v>
      </c>
      <c r="AB70" s="102"/>
      <c r="AC70" s="391">
        <f>IF(ISERROR(AD70*AC69),"",AD70*AC69)</f>
        <v>0</v>
      </c>
      <c r="AD70" s="505"/>
      <c r="AE70" s="371"/>
      <c r="AF70" s="359" t="str">
        <f>IF(ISERROR(AE70/AE69),"",AE70/AE69)</f>
        <v/>
      </c>
      <c r="AG70" s="358">
        <f t="shared" si="6"/>
        <v>0</v>
      </c>
      <c r="AH70" s="103" t="e">
        <f t="shared" si="34"/>
        <v>#VALUE!</v>
      </c>
      <c r="AI70" s="286">
        <f t="shared" si="35"/>
        <v>0</v>
      </c>
      <c r="AJ70" s="296" t="str">
        <f>IF(ISERROR(AI70/AI69),"",AI70/AI69)</f>
        <v/>
      </c>
      <c r="AK70" s="231">
        <f t="shared" si="36"/>
        <v>0</v>
      </c>
      <c r="AL70" s="296" t="str">
        <f>IF(ISERROR(AK70/AK69),"",AK70/AK69)</f>
        <v/>
      </c>
      <c r="AM70" s="231">
        <f t="shared" si="37"/>
        <v>0</v>
      </c>
      <c r="AN70" s="102"/>
      <c r="AO70" s="99"/>
      <c r="AP70" s="391">
        <f>IF(ISERROR(AQ70*AP69),"",AQ70*AP69)</f>
        <v>0</v>
      </c>
      <c r="AQ70" s="505"/>
      <c r="AR70" s="371"/>
      <c r="AS70" s="359" t="str">
        <f>IF(ISERROR(AR70/AR69),"",AR70/AR69)</f>
        <v/>
      </c>
      <c r="AT70" s="358">
        <f t="shared" si="11"/>
        <v>0</v>
      </c>
      <c r="AU70" s="102"/>
      <c r="AV70" s="391">
        <f>IF(ISERROR(AW70*AV69),"",AW70*AV69)</f>
        <v>0</v>
      </c>
      <c r="AW70" s="505"/>
      <c r="AX70" s="371"/>
      <c r="AY70" s="359" t="str">
        <f>IF(ISERROR(AX70/AX69),"",AX70/AX69)</f>
        <v/>
      </c>
      <c r="AZ70" s="358">
        <f t="shared" si="12"/>
        <v>0</v>
      </c>
      <c r="BA70" s="102"/>
      <c r="BB70" s="391">
        <f>IF(ISERROR(BC70*BB69),"",BC70*BB69)</f>
        <v>0</v>
      </c>
      <c r="BC70" s="505"/>
      <c r="BD70" s="371"/>
      <c r="BE70" s="359" t="str">
        <f>IF(ISERROR(BD70/BD69),"",BD70/BD69)</f>
        <v/>
      </c>
      <c r="BF70" s="358">
        <f t="shared" si="13"/>
        <v>0</v>
      </c>
      <c r="BG70" s="102"/>
      <c r="BH70" s="286">
        <f t="shared" si="38"/>
        <v>0</v>
      </c>
      <c r="BI70" s="296" t="str">
        <f>IF(ISERROR(BH70/BH69),"",BH70/BH69)</f>
        <v/>
      </c>
      <c r="BJ70" s="231">
        <f t="shared" si="39"/>
        <v>0</v>
      </c>
      <c r="BK70" s="296" t="str">
        <f>IF(ISERROR(BJ70/BJ69),"",BJ70/BJ69)</f>
        <v/>
      </c>
      <c r="BL70" s="231">
        <f t="shared" si="40"/>
        <v>0</v>
      </c>
      <c r="BM70" s="102"/>
      <c r="BN70" s="99"/>
      <c r="BO70" s="391">
        <f>IF(ISERROR(BP70*BO69),"",BP70*BO69)</f>
        <v>0</v>
      </c>
      <c r="BP70" s="505"/>
      <c r="BQ70" s="371"/>
      <c r="BR70" s="359" t="str">
        <f>IF(ISERROR(BQ70/BQ69),"",BQ70/BQ69)</f>
        <v/>
      </c>
      <c r="BS70" s="358">
        <f t="shared" si="17"/>
        <v>0</v>
      </c>
      <c r="BT70" s="102"/>
      <c r="BU70" s="391">
        <f>IF(ISERROR(BV70*BU69),"",BV70*BU69)</f>
        <v>0</v>
      </c>
      <c r="BV70" s="505"/>
      <c r="BW70" s="371"/>
      <c r="BX70" s="359" t="str">
        <f>IF(ISERROR(BW70/BW69),"",BW70/BW69)</f>
        <v/>
      </c>
      <c r="BY70" s="358">
        <f t="shared" si="18"/>
        <v>0</v>
      </c>
      <c r="BZ70" s="102"/>
      <c r="CA70" s="391">
        <f>IF(ISERROR(CB70*CA69),"",CB70*CA69)</f>
        <v>0</v>
      </c>
      <c r="CB70" s="505"/>
      <c r="CC70" s="371"/>
      <c r="CD70" s="359" t="str">
        <f>IF(ISERROR(CC70/CC69),"",CC70/CC69)</f>
        <v/>
      </c>
      <c r="CE70" s="358">
        <f t="shared" si="19"/>
        <v>0</v>
      </c>
      <c r="CF70" s="102"/>
      <c r="CG70" s="286">
        <f t="shared" si="41"/>
        <v>0</v>
      </c>
      <c r="CH70" s="296" t="str">
        <f>IF(ISERROR(CG70/CG69),"",CG70/CG69)</f>
        <v/>
      </c>
      <c r="CI70" s="231">
        <f t="shared" si="42"/>
        <v>0</v>
      </c>
      <c r="CJ70" s="296" t="str">
        <f>IF(ISERROR(CI70/CI69),"",CI70/CI69)</f>
        <v/>
      </c>
      <c r="CK70" s="231">
        <f t="shared" si="43"/>
        <v>0</v>
      </c>
      <c r="CL70" s="102"/>
      <c r="CM70" s="100"/>
      <c r="CN70" s="391">
        <f>IF(ISERROR(CO70*CN69),"",CO70*CN69)</f>
        <v>0</v>
      </c>
      <c r="CO70" s="505"/>
      <c r="CP70" s="371"/>
      <c r="CQ70" s="359" t="str">
        <f>IF(ISERROR(CP70/CP69),"",CP70/CP69)</f>
        <v/>
      </c>
      <c r="CR70" s="358">
        <f t="shared" si="23"/>
        <v>0</v>
      </c>
      <c r="CS70" s="102"/>
      <c r="CT70" s="391">
        <f>IF(ISERROR(CU70*CT69),"",CU70*CT69)</f>
        <v>0</v>
      </c>
      <c r="CU70" s="505"/>
      <c r="CV70" s="371"/>
      <c r="CW70" s="359" t="str">
        <f>IF(ISERROR(CV70/CV69),"",CV70/CV69)</f>
        <v/>
      </c>
      <c r="CX70" s="358">
        <f t="shared" si="24"/>
        <v>0</v>
      </c>
      <c r="CY70" s="102"/>
      <c r="CZ70" s="391">
        <f>IF(ISERROR(DA70*CZ69),"",DA70*CZ69)</f>
        <v>0</v>
      </c>
      <c r="DA70" s="505"/>
      <c r="DB70" s="371"/>
      <c r="DC70" s="359" t="str">
        <f>IF(ISERROR(DB70/DB69),"",DB70/DB69)</f>
        <v/>
      </c>
      <c r="DD70" s="358">
        <f t="shared" si="25"/>
        <v>0</v>
      </c>
      <c r="DE70" s="102"/>
      <c r="DF70" s="286">
        <f t="shared" si="44"/>
        <v>0</v>
      </c>
      <c r="DG70" s="296" t="str">
        <f>IF(ISERROR(DF70/DF69),"",DF70/DF69)</f>
        <v/>
      </c>
      <c r="DH70" s="231">
        <f t="shared" si="45"/>
        <v>0</v>
      </c>
      <c r="DI70" s="296" t="str">
        <f>IF(ISERROR(DH70/DH69),"",DH70/DH69)</f>
        <v/>
      </c>
      <c r="DJ70" s="231">
        <f t="shared" si="46"/>
        <v>0</v>
      </c>
      <c r="DK70" s="8"/>
    </row>
    <row r="71" spans="1:115" s="3" customFormat="1" ht="21.75" customHeight="1" outlineLevel="1" thickTop="1" thickBot="1" x14ac:dyDescent="0.3">
      <c r="A71" s="80">
        <v>62</v>
      </c>
      <c r="B71" s="618"/>
      <c r="C71" s="761"/>
      <c r="D71" s="661"/>
      <c r="E71" s="655" t="s">
        <v>82</v>
      </c>
      <c r="F71" s="634" t="s">
        <v>79</v>
      </c>
      <c r="G71" s="635"/>
      <c r="H71" s="635"/>
      <c r="I71" s="636"/>
      <c r="J71" s="230">
        <f t="shared" si="29"/>
        <v>0</v>
      </c>
      <c r="K71" s="299" t="str">
        <f>IFERROR(J71/J16,"")</f>
        <v/>
      </c>
      <c r="L71" s="231">
        <f t="shared" si="30"/>
        <v>0</v>
      </c>
      <c r="M71" s="299" t="str">
        <f>IFERROR(L71/L16,"")</f>
        <v/>
      </c>
      <c r="N71" s="207">
        <f t="shared" si="31"/>
        <v>0</v>
      </c>
      <c r="O71" s="45" t="e">
        <f t="shared" si="32"/>
        <v>#VALUE!</v>
      </c>
      <c r="P71" s="47"/>
      <c r="Q71" s="504"/>
      <c r="R71" s="499"/>
      <c r="S71" s="371"/>
      <c r="T71" s="368" t="str">
        <f>IFERROR(S71/S16,"")</f>
        <v/>
      </c>
      <c r="U71" s="358">
        <f t="shared" si="33"/>
        <v>0</v>
      </c>
      <c r="V71" s="102"/>
      <c r="W71" s="504"/>
      <c r="X71" s="499"/>
      <c r="Y71" s="371"/>
      <c r="Z71" s="368" t="str">
        <f>IFERROR(Y71/Y16,"")</f>
        <v/>
      </c>
      <c r="AA71" s="358">
        <f t="shared" si="5"/>
        <v>0</v>
      </c>
      <c r="AB71" s="102"/>
      <c r="AC71" s="504"/>
      <c r="AD71" s="499"/>
      <c r="AE71" s="371"/>
      <c r="AF71" s="368" t="str">
        <f>IFERROR(AE71/AE16,"")</f>
        <v/>
      </c>
      <c r="AG71" s="358">
        <f t="shared" si="6"/>
        <v>0</v>
      </c>
      <c r="AH71" s="103" t="e">
        <f t="shared" si="34"/>
        <v>#VALUE!</v>
      </c>
      <c r="AI71" s="286">
        <f t="shared" si="35"/>
        <v>0</v>
      </c>
      <c r="AJ71" s="299" t="str">
        <f>IFERROR(AI71/AI16,"")</f>
        <v/>
      </c>
      <c r="AK71" s="231">
        <f t="shared" si="36"/>
        <v>0</v>
      </c>
      <c r="AL71" s="299" t="str">
        <f>IFERROR(AK71/AK16,"")</f>
        <v/>
      </c>
      <c r="AM71" s="231">
        <f t="shared" si="37"/>
        <v>0</v>
      </c>
      <c r="AN71" s="102"/>
      <c r="AO71" s="99"/>
      <c r="AP71" s="504"/>
      <c r="AQ71" s="499"/>
      <c r="AR71" s="371"/>
      <c r="AS71" s="368" t="str">
        <f>IFERROR(AR71/AR16,"")</f>
        <v/>
      </c>
      <c r="AT71" s="358">
        <f t="shared" si="11"/>
        <v>0</v>
      </c>
      <c r="AU71" s="102"/>
      <c r="AV71" s="504"/>
      <c r="AW71" s="499"/>
      <c r="AX71" s="371"/>
      <c r="AY71" s="368" t="str">
        <f>IFERROR(AX71/AX16,"")</f>
        <v/>
      </c>
      <c r="AZ71" s="358">
        <f t="shared" si="12"/>
        <v>0</v>
      </c>
      <c r="BA71" s="102"/>
      <c r="BB71" s="504"/>
      <c r="BC71" s="499"/>
      <c r="BD71" s="371"/>
      <c r="BE71" s="368" t="str">
        <f>IFERROR(BD71/BD16,"")</f>
        <v/>
      </c>
      <c r="BF71" s="358">
        <f t="shared" si="13"/>
        <v>0</v>
      </c>
      <c r="BG71" s="102"/>
      <c r="BH71" s="286">
        <f t="shared" si="38"/>
        <v>0</v>
      </c>
      <c r="BI71" s="299" t="str">
        <f>IFERROR(BH71/BH16,"")</f>
        <v/>
      </c>
      <c r="BJ71" s="231">
        <f t="shared" si="39"/>
        <v>0</v>
      </c>
      <c r="BK71" s="299" t="str">
        <f>IFERROR(BJ71/BJ16,"")</f>
        <v/>
      </c>
      <c r="BL71" s="231">
        <f t="shared" si="40"/>
        <v>0</v>
      </c>
      <c r="BM71" s="102"/>
      <c r="BN71" s="99"/>
      <c r="BO71" s="504"/>
      <c r="BP71" s="499"/>
      <c r="BQ71" s="371"/>
      <c r="BR71" s="368" t="str">
        <f>IFERROR(BQ71/BQ16,"")</f>
        <v/>
      </c>
      <c r="BS71" s="358">
        <f t="shared" si="17"/>
        <v>0</v>
      </c>
      <c r="BT71" s="102"/>
      <c r="BU71" s="504"/>
      <c r="BV71" s="499"/>
      <c r="BW71" s="371"/>
      <c r="BX71" s="368" t="str">
        <f>IFERROR(BW71/BW16,"")</f>
        <v/>
      </c>
      <c r="BY71" s="358">
        <f t="shared" si="18"/>
        <v>0</v>
      </c>
      <c r="BZ71" s="102"/>
      <c r="CA71" s="504"/>
      <c r="CB71" s="499"/>
      <c r="CC71" s="371"/>
      <c r="CD71" s="368" t="str">
        <f>IFERROR(CC71/CC16,"")</f>
        <v/>
      </c>
      <c r="CE71" s="358">
        <f t="shared" si="19"/>
        <v>0</v>
      </c>
      <c r="CF71" s="102"/>
      <c r="CG71" s="286">
        <f t="shared" si="41"/>
        <v>0</v>
      </c>
      <c r="CH71" s="299" t="str">
        <f>IFERROR(CG71/CG16,"")</f>
        <v/>
      </c>
      <c r="CI71" s="231">
        <f t="shared" si="42"/>
        <v>0</v>
      </c>
      <c r="CJ71" s="299" t="str">
        <f>IFERROR(CI71/CI16,"")</f>
        <v/>
      </c>
      <c r="CK71" s="231">
        <f t="shared" si="43"/>
        <v>0</v>
      </c>
      <c r="CL71" s="102"/>
      <c r="CM71" s="100"/>
      <c r="CN71" s="504"/>
      <c r="CO71" s="499"/>
      <c r="CP71" s="371"/>
      <c r="CQ71" s="368" t="str">
        <f>IFERROR(CP71/CP16,"")</f>
        <v/>
      </c>
      <c r="CR71" s="358">
        <f t="shared" si="23"/>
        <v>0</v>
      </c>
      <c r="CS71" s="102"/>
      <c r="CT71" s="504"/>
      <c r="CU71" s="499"/>
      <c r="CV71" s="371"/>
      <c r="CW71" s="368" t="str">
        <f>IFERROR(CV71/CV16,"")</f>
        <v/>
      </c>
      <c r="CX71" s="358">
        <f t="shared" si="24"/>
        <v>0</v>
      </c>
      <c r="CY71" s="102"/>
      <c r="CZ71" s="504"/>
      <c r="DA71" s="499"/>
      <c r="DB71" s="371"/>
      <c r="DC71" s="368" t="str">
        <f>IFERROR(DB71/DB16,"")</f>
        <v/>
      </c>
      <c r="DD71" s="358">
        <f t="shared" si="25"/>
        <v>0</v>
      </c>
      <c r="DE71" s="102"/>
      <c r="DF71" s="286">
        <f t="shared" si="44"/>
        <v>0</v>
      </c>
      <c r="DG71" s="299" t="str">
        <f>IFERROR(DF71/DF16,"")</f>
        <v/>
      </c>
      <c r="DH71" s="231">
        <f t="shared" si="45"/>
        <v>0</v>
      </c>
      <c r="DI71" s="299" t="str">
        <f>IFERROR(DH71/DH16,"")</f>
        <v/>
      </c>
      <c r="DJ71" s="231">
        <f t="shared" si="46"/>
        <v>0</v>
      </c>
      <c r="DK71" s="8"/>
    </row>
    <row r="72" spans="1:115" s="3" customFormat="1" ht="21.75" customHeight="1" outlineLevel="1" thickTop="1" thickBot="1" x14ac:dyDescent="0.3">
      <c r="A72" s="80">
        <v>63</v>
      </c>
      <c r="B72" s="618"/>
      <c r="C72" s="761"/>
      <c r="D72" s="661"/>
      <c r="E72" s="656"/>
      <c r="F72" s="657" t="s">
        <v>80</v>
      </c>
      <c r="G72" s="658"/>
      <c r="H72" s="658"/>
      <c r="I72" s="659"/>
      <c r="J72" s="230">
        <f t="shared" si="29"/>
        <v>0</v>
      </c>
      <c r="K72" s="296" t="str">
        <f>IF(ISERROR(J72/J71),"",J72/J71)</f>
        <v/>
      </c>
      <c r="L72" s="231">
        <f t="shared" si="30"/>
        <v>0</v>
      </c>
      <c r="M72" s="296" t="str">
        <f>IF(ISERROR(L72/L71),"",L72/L71)</f>
        <v/>
      </c>
      <c r="N72" s="207">
        <f t="shared" si="31"/>
        <v>0</v>
      </c>
      <c r="O72" s="45" t="e">
        <f t="shared" si="32"/>
        <v>#VALUE!</v>
      </c>
      <c r="P72" s="47"/>
      <c r="Q72" s="391">
        <f>IF(ISERROR(R72*Q71),"",R72*Q71)</f>
        <v>0</v>
      </c>
      <c r="R72" s="505"/>
      <c r="S72" s="371"/>
      <c r="T72" s="359" t="str">
        <f>IF(ISERROR(S72/S71),"",S72/S71)</f>
        <v/>
      </c>
      <c r="U72" s="358">
        <f t="shared" si="33"/>
        <v>0</v>
      </c>
      <c r="V72" s="102"/>
      <c r="W72" s="391">
        <f>IF(ISERROR(X72*W71),"",X72*W71)</f>
        <v>0</v>
      </c>
      <c r="X72" s="505"/>
      <c r="Y72" s="371"/>
      <c r="Z72" s="359" t="str">
        <f>IF(ISERROR(Y72/Y71),"",Y72/Y71)</f>
        <v/>
      </c>
      <c r="AA72" s="358">
        <f t="shared" si="5"/>
        <v>0</v>
      </c>
      <c r="AB72" s="102"/>
      <c r="AC72" s="391">
        <f>IF(ISERROR(AD72*AC71),"",AD72*AC71)</f>
        <v>0</v>
      </c>
      <c r="AD72" s="505"/>
      <c r="AE72" s="371"/>
      <c r="AF72" s="359" t="str">
        <f>IF(ISERROR(AE72/AE71),"",AE72/AE71)</f>
        <v/>
      </c>
      <c r="AG72" s="358">
        <f t="shared" si="6"/>
        <v>0</v>
      </c>
      <c r="AH72" s="103" t="e">
        <f t="shared" si="34"/>
        <v>#VALUE!</v>
      </c>
      <c r="AI72" s="286">
        <f t="shared" si="35"/>
        <v>0</v>
      </c>
      <c r="AJ72" s="296" t="str">
        <f>IF(ISERROR(AI72/AI71),"",AI72/AI71)</f>
        <v/>
      </c>
      <c r="AK72" s="231">
        <f t="shared" si="36"/>
        <v>0</v>
      </c>
      <c r="AL72" s="296" t="str">
        <f>IF(ISERROR(AK72/AK71),"",AK72/AK71)</f>
        <v/>
      </c>
      <c r="AM72" s="231">
        <f t="shared" si="37"/>
        <v>0</v>
      </c>
      <c r="AN72" s="102"/>
      <c r="AO72" s="99"/>
      <c r="AP72" s="391">
        <f>IF(ISERROR(AQ72*AP71),"",AQ72*AP71)</f>
        <v>0</v>
      </c>
      <c r="AQ72" s="505"/>
      <c r="AR72" s="371"/>
      <c r="AS72" s="359" t="str">
        <f>IF(ISERROR(AR72/AR71),"",AR72/AR71)</f>
        <v/>
      </c>
      <c r="AT72" s="358">
        <f t="shared" si="11"/>
        <v>0</v>
      </c>
      <c r="AU72" s="102"/>
      <c r="AV72" s="391">
        <f>IF(ISERROR(AW72*AV71),"",AW72*AV71)</f>
        <v>0</v>
      </c>
      <c r="AW72" s="505"/>
      <c r="AX72" s="371"/>
      <c r="AY72" s="359" t="str">
        <f>IF(ISERROR(AX72/AX71),"",AX72/AX71)</f>
        <v/>
      </c>
      <c r="AZ72" s="358">
        <f t="shared" si="12"/>
        <v>0</v>
      </c>
      <c r="BA72" s="102"/>
      <c r="BB72" s="391">
        <f>IF(ISERROR(BC72*BB71),"",BC72*BB71)</f>
        <v>0</v>
      </c>
      <c r="BC72" s="505"/>
      <c r="BD72" s="371"/>
      <c r="BE72" s="359" t="str">
        <f>IF(ISERROR(BD72/BD71),"",BD72/BD71)</f>
        <v/>
      </c>
      <c r="BF72" s="358">
        <f t="shared" si="13"/>
        <v>0</v>
      </c>
      <c r="BG72" s="102"/>
      <c r="BH72" s="286">
        <f t="shared" si="38"/>
        <v>0</v>
      </c>
      <c r="BI72" s="296" t="str">
        <f>IF(ISERROR(BH72/BH71),"",BH72/BH71)</f>
        <v/>
      </c>
      <c r="BJ72" s="231">
        <f t="shared" si="39"/>
        <v>0</v>
      </c>
      <c r="BK72" s="296" t="str">
        <f>IF(ISERROR(BJ72/BJ71),"",BJ72/BJ71)</f>
        <v/>
      </c>
      <c r="BL72" s="231">
        <f t="shared" si="40"/>
        <v>0</v>
      </c>
      <c r="BM72" s="102"/>
      <c r="BN72" s="99"/>
      <c r="BO72" s="391">
        <f>IF(ISERROR(BP72*BO71),"",BP72*BO71)</f>
        <v>0</v>
      </c>
      <c r="BP72" s="505"/>
      <c r="BQ72" s="371"/>
      <c r="BR72" s="359" t="str">
        <f>IF(ISERROR(BQ72/BQ71),"",BQ72/BQ71)</f>
        <v/>
      </c>
      <c r="BS72" s="358">
        <f t="shared" si="17"/>
        <v>0</v>
      </c>
      <c r="BT72" s="102"/>
      <c r="BU72" s="391">
        <f>IF(ISERROR(BV72*BU71),"",BV72*BU71)</f>
        <v>0</v>
      </c>
      <c r="BV72" s="505"/>
      <c r="BW72" s="371"/>
      <c r="BX72" s="359" t="str">
        <f>IF(ISERROR(BW72/BW71),"",BW72/BW71)</f>
        <v/>
      </c>
      <c r="BY72" s="358">
        <f t="shared" si="18"/>
        <v>0</v>
      </c>
      <c r="BZ72" s="102"/>
      <c r="CA72" s="391">
        <f>IF(ISERROR(CB72*CA71),"",CB72*CA71)</f>
        <v>0</v>
      </c>
      <c r="CB72" s="505"/>
      <c r="CC72" s="371"/>
      <c r="CD72" s="359" t="str">
        <f>IF(ISERROR(CC72/CC71),"",CC72/CC71)</f>
        <v/>
      </c>
      <c r="CE72" s="358">
        <f t="shared" si="19"/>
        <v>0</v>
      </c>
      <c r="CF72" s="102"/>
      <c r="CG72" s="286">
        <f t="shared" si="41"/>
        <v>0</v>
      </c>
      <c r="CH72" s="296" t="str">
        <f>IF(ISERROR(CG72/CG71),"",CG72/CG71)</f>
        <v/>
      </c>
      <c r="CI72" s="231">
        <f t="shared" si="42"/>
        <v>0</v>
      </c>
      <c r="CJ72" s="296" t="str">
        <f>IF(ISERROR(CI72/CI71),"",CI72/CI71)</f>
        <v/>
      </c>
      <c r="CK72" s="231">
        <f t="shared" si="43"/>
        <v>0</v>
      </c>
      <c r="CL72" s="102"/>
      <c r="CM72" s="100"/>
      <c r="CN72" s="391">
        <f>IF(ISERROR(CO72*CN71),"",CO72*CN71)</f>
        <v>0</v>
      </c>
      <c r="CO72" s="505"/>
      <c r="CP72" s="371"/>
      <c r="CQ72" s="359" t="str">
        <f>IF(ISERROR(CP72/CP71),"",CP72/CP71)</f>
        <v/>
      </c>
      <c r="CR72" s="358">
        <f t="shared" si="23"/>
        <v>0</v>
      </c>
      <c r="CS72" s="102"/>
      <c r="CT72" s="391">
        <f>IF(ISERROR(CU72*CT71),"",CU72*CT71)</f>
        <v>0</v>
      </c>
      <c r="CU72" s="505"/>
      <c r="CV72" s="371"/>
      <c r="CW72" s="359" t="str">
        <f>IF(ISERROR(CV72/CV71),"",CV72/CV71)</f>
        <v/>
      </c>
      <c r="CX72" s="358">
        <f t="shared" si="24"/>
        <v>0</v>
      </c>
      <c r="CY72" s="102"/>
      <c r="CZ72" s="391">
        <f>IF(ISERROR(DA72*CZ71),"",DA72*CZ71)</f>
        <v>0</v>
      </c>
      <c r="DA72" s="505"/>
      <c r="DB72" s="371"/>
      <c r="DC72" s="359" t="str">
        <f>IF(ISERROR(DB72/DB71),"",DB72/DB71)</f>
        <v/>
      </c>
      <c r="DD72" s="358">
        <f t="shared" si="25"/>
        <v>0</v>
      </c>
      <c r="DE72" s="102"/>
      <c r="DF72" s="286">
        <f t="shared" si="44"/>
        <v>0</v>
      </c>
      <c r="DG72" s="296" t="str">
        <f>IF(ISERROR(DF72/DF71),"",DF72/DF71)</f>
        <v/>
      </c>
      <c r="DH72" s="231">
        <f t="shared" si="45"/>
        <v>0</v>
      </c>
      <c r="DI72" s="296" t="str">
        <f>IF(ISERROR(DH72/DH71),"",DH72/DH71)</f>
        <v/>
      </c>
      <c r="DJ72" s="231">
        <f t="shared" si="46"/>
        <v>0</v>
      </c>
      <c r="DK72" s="8"/>
    </row>
    <row r="73" spans="1:115" s="3" customFormat="1" ht="21.75" customHeight="1" outlineLevel="1" thickTop="1" thickBot="1" x14ac:dyDescent="0.3">
      <c r="A73" s="80">
        <v>64</v>
      </c>
      <c r="B73" s="618"/>
      <c r="C73" s="761"/>
      <c r="D73" s="661"/>
      <c r="E73" s="655" t="s">
        <v>83</v>
      </c>
      <c r="F73" s="634" t="s">
        <v>79</v>
      </c>
      <c r="G73" s="635"/>
      <c r="H73" s="635"/>
      <c r="I73" s="636"/>
      <c r="J73" s="230">
        <f t="shared" si="29"/>
        <v>0</v>
      </c>
      <c r="K73" s="299" t="str">
        <f>IFERROR(J73/J18,"")</f>
        <v/>
      </c>
      <c r="L73" s="231">
        <f t="shared" si="30"/>
        <v>0</v>
      </c>
      <c r="M73" s="299" t="str">
        <f>IFERROR(L73/L18,"")</f>
        <v/>
      </c>
      <c r="N73" s="207">
        <f t="shared" si="31"/>
        <v>0</v>
      </c>
      <c r="O73" s="45" t="e">
        <f t="shared" si="32"/>
        <v>#VALUE!</v>
      </c>
      <c r="P73" s="47"/>
      <c r="Q73" s="504"/>
      <c r="R73" s="499"/>
      <c r="S73" s="371"/>
      <c r="T73" s="368" t="str">
        <f>IFERROR(S73/S18,"")</f>
        <v/>
      </c>
      <c r="U73" s="358">
        <f t="shared" si="33"/>
        <v>0</v>
      </c>
      <c r="V73" s="102"/>
      <c r="W73" s="504"/>
      <c r="X73" s="499"/>
      <c r="Y73" s="371"/>
      <c r="Z73" s="368" t="str">
        <f>IFERROR(Y73/Y18,"")</f>
        <v/>
      </c>
      <c r="AA73" s="358">
        <f t="shared" si="5"/>
        <v>0</v>
      </c>
      <c r="AB73" s="102"/>
      <c r="AC73" s="504"/>
      <c r="AD73" s="499"/>
      <c r="AE73" s="371"/>
      <c r="AF73" s="368" t="str">
        <f>IFERROR(AE73/AE18,"")</f>
        <v/>
      </c>
      <c r="AG73" s="358">
        <f t="shared" si="6"/>
        <v>0</v>
      </c>
      <c r="AH73" s="103" t="e">
        <f t="shared" si="34"/>
        <v>#VALUE!</v>
      </c>
      <c r="AI73" s="286">
        <f t="shared" si="35"/>
        <v>0</v>
      </c>
      <c r="AJ73" s="299" t="str">
        <f>IFERROR(AI73/AI18,"")</f>
        <v/>
      </c>
      <c r="AK73" s="231">
        <f t="shared" si="36"/>
        <v>0</v>
      </c>
      <c r="AL73" s="299" t="str">
        <f>IFERROR(AK73/AK18,"")</f>
        <v/>
      </c>
      <c r="AM73" s="231">
        <f t="shared" si="37"/>
        <v>0</v>
      </c>
      <c r="AN73" s="102"/>
      <c r="AO73" s="99"/>
      <c r="AP73" s="504"/>
      <c r="AQ73" s="499"/>
      <c r="AR73" s="371"/>
      <c r="AS73" s="368" t="str">
        <f>IFERROR(AR73/AR18,"")</f>
        <v/>
      </c>
      <c r="AT73" s="358">
        <f t="shared" si="11"/>
        <v>0</v>
      </c>
      <c r="AU73" s="102"/>
      <c r="AV73" s="504"/>
      <c r="AW73" s="499"/>
      <c r="AX73" s="371"/>
      <c r="AY73" s="368" t="str">
        <f>IFERROR(AX73/AX18,"")</f>
        <v/>
      </c>
      <c r="AZ73" s="358">
        <f t="shared" si="12"/>
        <v>0</v>
      </c>
      <c r="BA73" s="102"/>
      <c r="BB73" s="504"/>
      <c r="BC73" s="499"/>
      <c r="BD73" s="371"/>
      <c r="BE73" s="368" t="str">
        <f>IFERROR(BD73/BD18,"")</f>
        <v/>
      </c>
      <c r="BF73" s="358">
        <f t="shared" si="13"/>
        <v>0</v>
      </c>
      <c r="BG73" s="102"/>
      <c r="BH73" s="286">
        <f t="shared" si="38"/>
        <v>0</v>
      </c>
      <c r="BI73" s="299" t="str">
        <f>IFERROR(BH73/BH18,"")</f>
        <v/>
      </c>
      <c r="BJ73" s="231">
        <f t="shared" si="39"/>
        <v>0</v>
      </c>
      <c r="BK73" s="299" t="str">
        <f>IFERROR(BJ73/BJ18,"")</f>
        <v/>
      </c>
      <c r="BL73" s="231">
        <f t="shared" si="40"/>
        <v>0</v>
      </c>
      <c r="BM73" s="102"/>
      <c r="BN73" s="99"/>
      <c r="BO73" s="504"/>
      <c r="BP73" s="499"/>
      <c r="BQ73" s="371"/>
      <c r="BR73" s="368" t="str">
        <f>IFERROR(BQ73/BQ18,"")</f>
        <v/>
      </c>
      <c r="BS73" s="358">
        <f t="shared" si="17"/>
        <v>0</v>
      </c>
      <c r="BT73" s="102"/>
      <c r="BU73" s="504"/>
      <c r="BV73" s="499"/>
      <c r="BW73" s="371"/>
      <c r="BX73" s="368" t="str">
        <f>IFERROR(BW73/BW18,"")</f>
        <v/>
      </c>
      <c r="BY73" s="358">
        <f t="shared" si="18"/>
        <v>0</v>
      </c>
      <c r="BZ73" s="102"/>
      <c r="CA73" s="504"/>
      <c r="CB73" s="499"/>
      <c r="CC73" s="371"/>
      <c r="CD73" s="368" t="str">
        <f>IFERROR(CC73/CC18,"")</f>
        <v/>
      </c>
      <c r="CE73" s="358">
        <f t="shared" si="19"/>
        <v>0</v>
      </c>
      <c r="CF73" s="102"/>
      <c r="CG73" s="286">
        <f t="shared" si="41"/>
        <v>0</v>
      </c>
      <c r="CH73" s="299" t="str">
        <f>IFERROR(CG73/CG18,"")</f>
        <v/>
      </c>
      <c r="CI73" s="231">
        <f t="shared" si="42"/>
        <v>0</v>
      </c>
      <c r="CJ73" s="299" t="str">
        <f>IFERROR(CI73/CI18,"")</f>
        <v/>
      </c>
      <c r="CK73" s="231">
        <f t="shared" si="43"/>
        <v>0</v>
      </c>
      <c r="CL73" s="102"/>
      <c r="CM73" s="100"/>
      <c r="CN73" s="504"/>
      <c r="CO73" s="499"/>
      <c r="CP73" s="371"/>
      <c r="CQ73" s="368" t="str">
        <f>IFERROR(CP73/CP18,"")</f>
        <v/>
      </c>
      <c r="CR73" s="358">
        <f t="shared" si="23"/>
        <v>0</v>
      </c>
      <c r="CS73" s="102"/>
      <c r="CT73" s="504"/>
      <c r="CU73" s="499"/>
      <c r="CV73" s="371"/>
      <c r="CW73" s="368" t="str">
        <f>IFERROR(CV73/CV18,"")</f>
        <v/>
      </c>
      <c r="CX73" s="358">
        <f t="shared" si="24"/>
        <v>0</v>
      </c>
      <c r="CY73" s="102"/>
      <c r="CZ73" s="504"/>
      <c r="DA73" s="499"/>
      <c r="DB73" s="371"/>
      <c r="DC73" s="368" t="str">
        <f>IFERROR(DB73/DB18,"")</f>
        <v/>
      </c>
      <c r="DD73" s="358">
        <f t="shared" si="25"/>
        <v>0</v>
      </c>
      <c r="DE73" s="102"/>
      <c r="DF73" s="286">
        <f t="shared" si="44"/>
        <v>0</v>
      </c>
      <c r="DG73" s="299" t="str">
        <f>IFERROR(DF73/DF18,"")</f>
        <v/>
      </c>
      <c r="DH73" s="231">
        <f t="shared" si="45"/>
        <v>0</v>
      </c>
      <c r="DI73" s="299" t="str">
        <f>IFERROR(DH73/DH18,"")</f>
        <v/>
      </c>
      <c r="DJ73" s="231">
        <f t="shared" si="46"/>
        <v>0</v>
      </c>
      <c r="DK73" s="8"/>
    </row>
    <row r="74" spans="1:115" s="3" customFormat="1" ht="21.75" customHeight="1" outlineLevel="1" thickTop="1" thickBot="1" x14ac:dyDescent="0.3">
      <c r="A74" s="80">
        <v>65</v>
      </c>
      <c r="B74" s="618"/>
      <c r="C74" s="761"/>
      <c r="D74" s="661"/>
      <c r="E74" s="656"/>
      <c r="F74" s="657" t="s">
        <v>80</v>
      </c>
      <c r="G74" s="658"/>
      <c r="H74" s="658"/>
      <c r="I74" s="659"/>
      <c r="J74" s="230">
        <f t="shared" ref="J74:J82" si="47">SUM(Q74,W74,AC74,AP74,AV74,BB74,BO74,BU74,CA74,CN74,CT74,CZ74)</f>
        <v>0</v>
      </c>
      <c r="K74" s="296" t="str">
        <f>IF(ISERROR(J74/J73),"",J74/J73)</f>
        <v/>
      </c>
      <c r="L74" s="231">
        <f t="shared" ref="L74:L82" si="48">SUM(S74,Y74,AE74,AR74,AX74,BD74,BQ74,BW74,CC74,CP74,CV74,DB74)</f>
        <v>0</v>
      </c>
      <c r="M74" s="296" t="str">
        <f>IF(ISERROR(L74/L73),"",L74/L73)</f>
        <v/>
      </c>
      <c r="N74" s="207">
        <f t="shared" ref="N74:N107" si="49">J74-L74</f>
        <v>0</v>
      </c>
      <c r="O74" s="45" t="e">
        <f t="shared" ref="O74:O81" si="50">SUM(V74,AB74,AH74,AU74,BA74,BG74,BT74,BZ74,CF74,CS74,CY74,DE74)</f>
        <v>#VALUE!</v>
      </c>
      <c r="P74" s="47"/>
      <c r="Q74" s="391">
        <f>IF(ISERROR(R74*Q73),"",R74*Q73)</f>
        <v>0</v>
      </c>
      <c r="R74" s="505"/>
      <c r="S74" s="371"/>
      <c r="T74" s="359" t="str">
        <f>IF(ISERROR(S74/S73),"",S74/S73)</f>
        <v/>
      </c>
      <c r="U74" s="358">
        <f t="shared" ref="U74:U81" si="51">Q74-S74</f>
        <v>0</v>
      </c>
      <c r="V74" s="102"/>
      <c r="W74" s="391">
        <f>IF(ISERROR(X74*W73),"",X74*W73)</f>
        <v>0</v>
      </c>
      <c r="X74" s="505"/>
      <c r="Y74" s="371"/>
      <c r="Z74" s="359" t="str">
        <f>IF(ISERROR(Y74/Y73),"",Y74/Y73)</f>
        <v/>
      </c>
      <c r="AA74" s="358">
        <f t="shared" ref="AA74:AA78" si="52">W74-Y74</f>
        <v>0</v>
      </c>
      <c r="AB74" s="102"/>
      <c r="AC74" s="391">
        <f>IF(ISERROR(AD74*AC73),"",AD74*AC73)</f>
        <v>0</v>
      </c>
      <c r="AD74" s="505"/>
      <c r="AE74" s="371"/>
      <c r="AF74" s="359" t="str">
        <f>IF(ISERROR(AE74/AE73),"",AE74/AE73)</f>
        <v/>
      </c>
      <c r="AG74" s="358">
        <f t="shared" ref="AG74:AG78" si="53">AC74-AE74</f>
        <v>0</v>
      </c>
      <c r="AH74" s="103" t="e">
        <f t="shared" ref="AH74:AH81" si="54">AE74-AF74</f>
        <v>#VALUE!</v>
      </c>
      <c r="AI74" s="286">
        <f t="shared" ref="AI74:AI107" si="55">SUM(Q74,W74,AC74)</f>
        <v>0</v>
      </c>
      <c r="AJ74" s="296" t="str">
        <f>IF(ISERROR(AI74/AI73),"",AI74/AI73)</f>
        <v/>
      </c>
      <c r="AK74" s="231">
        <f t="shared" ref="AK74:AK107" si="56">SUM(S74,Y74,AE74)</f>
        <v>0</v>
      </c>
      <c r="AL74" s="296" t="str">
        <f>IF(ISERROR(AK74/AK73),"",AK74/AK73)</f>
        <v/>
      </c>
      <c r="AM74" s="231">
        <f t="shared" ref="AM74:AM81" si="57">AI74-AK74</f>
        <v>0</v>
      </c>
      <c r="AN74" s="102"/>
      <c r="AO74" s="99"/>
      <c r="AP74" s="391">
        <f>IF(ISERROR(AQ74*AP73),"",AQ74*AP73)</f>
        <v>0</v>
      </c>
      <c r="AQ74" s="505"/>
      <c r="AR74" s="371"/>
      <c r="AS74" s="359" t="str">
        <f>IF(ISERROR(AR74/AR73),"",AR74/AR73)</f>
        <v/>
      </c>
      <c r="AT74" s="358">
        <f t="shared" ref="AT74:AT78" si="58">AP74-AR74</f>
        <v>0</v>
      </c>
      <c r="AU74" s="102"/>
      <c r="AV74" s="391">
        <f>IF(ISERROR(AW74*AV73),"",AW74*AV73)</f>
        <v>0</v>
      </c>
      <c r="AW74" s="505"/>
      <c r="AX74" s="371"/>
      <c r="AY74" s="359" t="str">
        <f>IF(ISERROR(AX74/AX73),"",AX74/AX73)</f>
        <v/>
      </c>
      <c r="AZ74" s="358">
        <f t="shared" ref="AZ74:AZ78" si="59">AV74-AX74</f>
        <v>0</v>
      </c>
      <c r="BA74" s="102"/>
      <c r="BB74" s="391">
        <f>IF(ISERROR(BC74*BB73),"",BC74*BB73)</f>
        <v>0</v>
      </c>
      <c r="BC74" s="505"/>
      <c r="BD74" s="371"/>
      <c r="BE74" s="359" t="str">
        <f>IF(ISERROR(BD74/BD73),"",BD74/BD73)</f>
        <v/>
      </c>
      <c r="BF74" s="358">
        <f t="shared" ref="BF74:BF78" si="60">BB74-BD74</f>
        <v>0</v>
      </c>
      <c r="BG74" s="102"/>
      <c r="BH74" s="286">
        <f t="shared" ref="BH74:BH107" si="61">SUM(AP74,AV74,BB74)</f>
        <v>0</v>
      </c>
      <c r="BI74" s="296" t="str">
        <f>IF(ISERROR(BH74/BH73),"",BH74/BH73)</f>
        <v/>
      </c>
      <c r="BJ74" s="231">
        <f t="shared" ref="BJ74:BJ107" si="62">SUM(AR74,AX74,BD74)</f>
        <v>0</v>
      </c>
      <c r="BK74" s="296" t="str">
        <f>IF(ISERROR(BJ74/BJ73),"",BJ74/BJ73)</f>
        <v/>
      </c>
      <c r="BL74" s="231">
        <f t="shared" ref="BL74:BL81" si="63">BH74-BJ74</f>
        <v>0</v>
      </c>
      <c r="BM74" s="102"/>
      <c r="BN74" s="99"/>
      <c r="BO74" s="391">
        <f>IF(ISERROR(BP74*BO73),"",BP74*BO73)</f>
        <v>0</v>
      </c>
      <c r="BP74" s="505"/>
      <c r="BQ74" s="371"/>
      <c r="BR74" s="359" t="str">
        <f>IF(ISERROR(BQ74/BQ73),"",BQ74/BQ73)</f>
        <v/>
      </c>
      <c r="BS74" s="358">
        <f t="shared" ref="BS74:BS78" si="64">BO74-BQ74</f>
        <v>0</v>
      </c>
      <c r="BT74" s="102"/>
      <c r="BU74" s="391">
        <f>IF(ISERROR(BV74*BU73),"",BV74*BU73)</f>
        <v>0</v>
      </c>
      <c r="BV74" s="505"/>
      <c r="BW74" s="371"/>
      <c r="BX74" s="359" t="str">
        <f>IF(ISERROR(BW74/BW73),"",BW74/BW73)</f>
        <v/>
      </c>
      <c r="BY74" s="358">
        <f t="shared" ref="BY74:BY78" si="65">BU74-BW74</f>
        <v>0</v>
      </c>
      <c r="BZ74" s="102"/>
      <c r="CA74" s="391">
        <f>IF(ISERROR(CB74*CA73),"",CB74*CA73)</f>
        <v>0</v>
      </c>
      <c r="CB74" s="505"/>
      <c r="CC74" s="371"/>
      <c r="CD74" s="359" t="str">
        <f>IF(ISERROR(CC74/CC73),"",CC74/CC73)</f>
        <v/>
      </c>
      <c r="CE74" s="358">
        <f t="shared" ref="CE74:CE78" si="66">CA74-CC74</f>
        <v>0</v>
      </c>
      <c r="CF74" s="102"/>
      <c r="CG74" s="286">
        <f t="shared" ref="CG74:CG107" si="67">SUM(BO74,BU74,CA74)</f>
        <v>0</v>
      </c>
      <c r="CH74" s="296" t="str">
        <f>IF(ISERROR(CG74/CG73),"",CG74/CG73)</f>
        <v/>
      </c>
      <c r="CI74" s="231">
        <f t="shared" ref="CI74:CI107" si="68">SUM(BQ74,BW74,CC74)</f>
        <v>0</v>
      </c>
      <c r="CJ74" s="296" t="str">
        <f>IF(ISERROR(CI74/CI73),"",CI74/CI73)</f>
        <v/>
      </c>
      <c r="CK74" s="231">
        <f t="shared" ref="CK74:CK81" si="69">CG74-CI74</f>
        <v>0</v>
      </c>
      <c r="CL74" s="102"/>
      <c r="CM74" s="100"/>
      <c r="CN74" s="391">
        <f>IF(ISERROR(CO74*CN73),"",CO74*CN73)</f>
        <v>0</v>
      </c>
      <c r="CO74" s="505"/>
      <c r="CP74" s="371"/>
      <c r="CQ74" s="359" t="str">
        <f>IF(ISERROR(CP74/CP73),"",CP74/CP73)</f>
        <v/>
      </c>
      <c r="CR74" s="358">
        <f t="shared" ref="CR74:CR78" si="70">CN74-CP74</f>
        <v>0</v>
      </c>
      <c r="CS74" s="102"/>
      <c r="CT74" s="391">
        <f>IF(ISERROR(CU74*CT73),"",CU74*CT73)</f>
        <v>0</v>
      </c>
      <c r="CU74" s="505"/>
      <c r="CV74" s="371"/>
      <c r="CW74" s="359" t="str">
        <f>IF(ISERROR(CV74/CV73),"",CV74/CV73)</f>
        <v/>
      </c>
      <c r="CX74" s="358">
        <f t="shared" ref="CX74:CX78" si="71">CT74-CV74</f>
        <v>0</v>
      </c>
      <c r="CY74" s="102"/>
      <c r="CZ74" s="391">
        <f>IF(ISERROR(DA74*CZ73),"",DA74*CZ73)</f>
        <v>0</v>
      </c>
      <c r="DA74" s="505"/>
      <c r="DB74" s="371"/>
      <c r="DC74" s="359" t="str">
        <f>IF(ISERROR(DB74/DB73),"",DB74/DB73)</f>
        <v/>
      </c>
      <c r="DD74" s="358">
        <f t="shared" ref="DD74:DD78" si="72">CZ74-DB74</f>
        <v>0</v>
      </c>
      <c r="DE74" s="102"/>
      <c r="DF74" s="286">
        <f t="shared" ref="DF74:DF107" si="73">SUM(CN74,CT74,CZ74)</f>
        <v>0</v>
      </c>
      <c r="DG74" s="296" t="str">
        <f>IF(ISERROR(DF74/DF73),"",DF74/DF73)</f>
        <v/>
      </c>
      <c r="DH74" s="231">
        <f t="shared" ref="DH74:DH107" si="74">SUM(CP74,CV74,DB74)</f>
        <v>0</v>
      </c>
      <c r="DI74" s="296" t="str">
        <f>IF(ISERROR(DH74/DH73),"",DH74/DH73)</f>
        <v/>
      </c>
      <c r="DJ74" s="231">
        <f t="shared" ref="DJ74:DJ81" si="75">DF74-DH74</f>
        <v>0</v>
      </c>
      <c r="DK74" s="8"/>
    </row>
    <row r="75" spans="1:115" s="3" customFormat="1" ht="21.75" customHeight="1" outlineLevel="1" thickTop="1" thickBot="1" x14ac:dyDescent="0.3">
      <c r="A75" s="80">
        <v>66</v>
      </c>
      <c r="B75" s="618"/>
      <c r="C75" s="761"/>
      <c r="D75" s="661"/>
      <c r="E75" s="634" t="s">
        <v>84</v>
      </c>
      <c r="F75" s="635"/>
      <c r="G75" s="635"/>
      <c r="H75" s="635"/>
      <c r="I75" s="636"/>
      <c r="J75" s="230">
        <f t="shared" si="47"/>
        <v>0</v>
      </c>
      <c r="K75" s="296" t="str">
        <f>IF(ISERROR(J75/J14),"",J75/J14)</f>
        <v/>
      </c>
      <c r="L75" s="231">
        <f t="shared" si="48"/>
        <v>0</v>
      </c>
      <c r="M75" s="296" t="str">
        <f>IF(ISERROR(L75/L14),"",L75/L14)</f>
        <v/>
      </c>
      <c r="N75" s="207">
        <f t="shared" si="49"/>
        <v>0</v>
      </c>
      <c r="O75" s="45" t="e">
        <f t="shared" si="50"/>
        <v>#VALUE!</v>
      </c>
      <c r="P75" s="47"/>
      <c r="Q75" s="504"/>
      <c r="R75" s="481" t="str">
        <f>IF(ISERROR(Q75/Q14),"",Q75/Q14)</f>
        <v/>
      </c>
      <c r="S75" s="371"/>
      <c r="T75" s="359" t="str">
        <f>IF(ISERROR(S75/S14),"",S75/S14)</f>
        <v/>
      </c>
      <c r="U75" s="358">
        <f t="shared" si="51"/>
        <v>0</v>
      </c>
      <c r="V75" s="102"/>
      <c r="W75" s="504"/>
      <c r="X75" s="481" t="str">
        <f>IF(ISERROR(W75/W14),"",W75/W14)</f>
        <v/>
      </c>
      <c r="Y75" s="371"/>
      <c r="Z75" s="359" t="str">
        <f>IF(ISERROR(Y75/Y14),"",Y75/Y14)</f>
        <v/>
      </c>
      <c r="AA75" s="358">
        <f t="shared" si="52"/>
        <v>0</v>
      </c>
      <c r="AB75" s="102"/>
      <c r="AC75" s="504"/>
      <c r="AD75" s="481" t="str">
        <f>IF(ISERROR(AC75/AC14),"",AC75/AC14)</f>
        <v/>
      </c>
      <c r="AE75" s="371"/>
      <c r="AF75" s="359" t="str">
        <f>IF(ISERROR(AE75/AE14),"",AE75/AE14)</f>
        <v/>
      </c>
      <c r="AG75" s="358">
        <f t="shared" si="53"/>
        <v>0</v>
      </c>
      <c r="AH75" s="103" t="e">
        <f t="shared" si="54"/>
        <v>#VALUE!</v>
      </c>
      <c r="AI75" s="286">
        <f t="shared" si="55"/>
        <v>0</v>
      </c>
      <c r="AJ75" s="296" t="str">
        <f>IF(ISERROR(AI75/AI14),"",AI75/AI14)</f>
        <v/>
      </c>
      <c r="AK75" s="231">
        <f t="shared" si="56"/>
        <v>0</v>
      </c>
      <c r="AL75" s="296" t="str">
        <f>IF(ISERROR(AK75/AK14),"",AK75/AK14)</f>
        <v/>
      </c>
      <c r="AM75" s="231">
        <f t="shared" si="57"/>
        <v>0</v>
      </c>
      <c r="AN75" s="102"/>
      <c r="AO75" s="99"/>
      <c r="AP75" s="504"/>
      <c r="AQ75" s="481" t="str">
        <f>IF(ISERROR(AP75/AP14),"",AP75/AP14)</f>
        <v/>
      </c>
      <c r="AR75" s="371"/>
      <c r="AS75" s="359" t="str">
        <f>IF(ISERROR(AR75/AR14),"",AR75/AR14)</f>
        <v/>
      </c>
      <c r="AT75" s="358">
        <f t="shared" si="58"/>
        <v>0</v>
      </c>
      <c r="AU75" s="102"/>
      <c r="AV75" s="504"/>
      <c r="AW75" s="481" t="str">
        <f>IF(ISERROR(AV75/AV14),"",AV75/AV14)</f>
        <v/>
      </c>
      <c r="AX75" s="371"/>
      <c r="AY75" s="359" t="str">
        <f>IF(ISERROR(AX75/AX14),"",AX75/AX14)</f>
        <v/>
      </c>
      <c r="AZ75" s="358">
        <f t="shared" si="59"/>
        <v>0</v>
      </c>
      <c r="BA75" s="102"/>
      <c r="BB75" s="504"/>
      <c r="BC75" s="481" t="str">
        <f>IF(ISERROR(BB75/BB14),"",BB75/BB14)</f>
        <v/>
      </c>
      <c r="BD75" s="371"/>
      <c r="BE75" s="359" t="str">
        <f>IF(ISERROR(BD75/BD14),"",BD75/BD14)</f>
        <v/>
      </c>
      <c r="BF75" s="358">
        <f t="shared" si="60"/>
        <v>0</v>
      </c>
      <c r="BG75" s="102"/>
      <c r="BH75" s="286">
        <f t="shared" si="61"/>
        <v>0</v>
      </c>
      <c r="BI75" s="296" t="str">
        <f>IF(ISERROR(BH75/BH14),"",BH75/BH14)</f>
        <v/>
      </c>
      <c r="BJ75" s="231">
        <f t="shared" si="62"/>
        <v>0</v>
      </c>
      <c r="BK75" s="296" t="str">
        <f>IF(ISERROR(BJ75/BJ14),"",BJ75/BJ14)</f>
        <v/>
      </c>
      <c r="BL75" s="231">
        <f t="shared" si="63"/>
        <v>0</v>
      </c>
      <c r="BM75" s="102"/>
      <c r="BN75" s="99"/>
      <c r="BO75" s="504"/>
      <c r="BP75" s="481" t="str">
        <f>IF(ISERROR(BO75/BO14),"",BO75/BO14)</f>
        <v/>
      </c>
      <c r="BQ75" s="371"/>
      <c r="BR75" s="359" t="str">
        <f>IF(ISERROR(BQ75/BQ14),"",BQ75/BQ14)</f>
        <v/>
      </c>
      <c r="BS75" s="358">
        <f t="shared" si="64"/>
        <v>0</v>
      </c>
      <c r="BT75" s="102"/>
      <c r="BU75" s="504"/>
      <c r="BV75" s="481" t="str">
        <f>IF(ISERROR(BU75/BU14),"",BU75/BU14)</f>
        <v/>
      </c>
      <c r="BW75" s="371"/>
      <c r="BX75" s="359" t="str">
        <f>IF(ISERROR(BW75/BW14),"",BW75/BW14)</f>
        <v/>
      </c>
      <c r="BY75" s="358">
        <f t="shared" si="65"/>
        <v>0</v>
      </c>
      <c r="BZ75" s="102"/>
      <c r="CA75" s="504"/>
      <c r="CB75" s="481" t="str">
        <f>IF(ISERROR(CA75/CA14),"",CA75/CA14)</f>
        <v/>
      </c>
      <c r="CC75" s="371"/>
      <c r="CD75" s="359" t="str">
        <f>IF(ISERROR(CC75/CC14),"",CC75/CC14)</f>
        <v/>
      </c>
      <c r="CE75" s="358">
        <f t="shared" si="66"/>
        <v>0</v>
      </c>
      <c r="CF75" s="102"/>
      <c r="CG75" s="286">
        <f t="shared" si="67"/>
        <v>0</v>
      </c>
      <c r="CH75" s="296" t="str">
        <f>IF(ISERROR(CG75/CG14),"",CG75/CG14)</f>
        <v/>
      </c>
      <c r="CI75" s="231">
        <f t="shared" si="68"/>
        <v>0</v>
      </c>
      <c r="CJ75" s="296" t="str">
        <f>IF(ISERROR(CI75/CI14),"",CI75/CI14)</f>
        <v/>
      </c>
      <c r="CK75" s="231">
        <f t="shared" si="69"/>
        <v>0</v>
      </c>
      <c r="CL75" s="102"/>
      <c r="CM75" s="100"/>
      <c r="CN75" s="504"/>
      <c r="CO75" s="481" t="str">
        <f>IF(ISERROR(CN75/CN14),"",CN75/CN14)</f>
        <v/>
      </c>
      <c r="CP75" s="371"/>
      <c r="CQ75" s="359" t="str">
        <f>IF(ISERROR(CP75/CP14),"",CP75/CP14)</f>
        <v/>
      </c>
      <c r="CR75" s="358">
        <f t="shared" si="70"/>
        <v>0</v>
      </c>
      <c r="CS75" s="102"/>
      <c r="CT75" s="504"/>
      <c r="CU75" s="481" t="str">
        <f>IF(ISERROR(CT75/CT14),"",CT75/CT14)</f>
        <v/>
      </c>
      <c r="CV75" s="371"/>
      <c r="CW75" s="359" t="str">
        <f>IF(ISERROR(CV75/CV14),"",CV75/CV14)</f>
        <v/>
      </c>
      <c r="CX75" s="358">
        <f t="shared" si="71"/>
        <v>0</v>
      </c>
      <c r="CY75" s="102"/>
      <c r="CZ75" s="504"/>
      <c r="DA75" s="481" t="str">
        <f>IF(ISERROR(CZ75/CZ14),"",CZ75/CZ14)</f>
        <v/>
      </c>
      <c r="DB75" s="371"/>
      <c r="DC75" s="359" t="str">
        <f>IF(ISERROR(DB75/DB14),"",DB75/DB14)</f>
        <v/>
      </c>
      <c r="DD75" s="358">
        <f t="shared" si="72"/>
        <v>0</v>
      </c>
      <c r="DE75" s="102"/>
      <c r="DF75" s="286">
        <f t="shared" si="73"/>
        <v>0</v>
      </c>
      <c r="DG75" s="296" t="str">
        <f>IF(ISERROR(DF75/DF14),"",DF75/DF14)</f>
        <v/>
      </c>
      <c r="DH75" s="231">
        <f t="shared" si="74"/>
        <v>0</v>
      </c>
      <c r="DI75" s="296" t="str">
        <f>IF(ISERROR(DH75/DH14),"",DH75/DH14)</f>
        <v/>
      </c>
      <c r="DJ75" s="231">
        <f t="shared" si="75"/>
        <v>0</v>
      </c>
      <c r="DK75" s="8"/>
    </row>
    <row r="76" spans="1:115" s="3" customFormat="1" ht="21.75" customHeight="1" outlineLevel="1" thickTop="1" thickBot="1" x14ac:dyDescent="0.3">
      <c r="A76" s="80">
        <v>67</v>
      </c>
      <c r="B76" s="618"/>
      <c r="C76" s="761"/>
      <c r="D76" s="661"/>
      <c r="E76" s="637" t="s">
        <v>85</v>
      </c>
      <c r="F76" s="638"/>
      <c r="G76" s="638"/>
      <c r="H76" s="638"/>
      <c r="I76" s="639"/>
      <c r="J76" s="242">
        <f t="shared" si="47"/>
        <v>0</v>
      </c>
      <c r="K76" s="279" t="str">
        <f>IF(ISERROR(J76/J14),"",J76/J14)</f>
        <v/>
      </c>
      <c r="L76" s="243">
        <f t="shared" si="48"/>
        <v>0</v>
      </c>
      <c r="M76" s="279" t="str">
        <f>IF(ISERROR(L76/L14),"",L76/L14)</f>
        <v/>
      </c>
      <c r="N76" s="213">
        <f t="shared" si="49"/>
        <v>0</v>
      </c>
      <c r="O76" s="52" t="e">
        <f t="shared" si="50"/>
        <v>#VALUE!</v>
      </c>
      <c r="P76" s="47"/>
      <c r="Q76" s="417">
        <f>SUM(Q68,Q70,Q72,Q74,Q75)</f>
        <v>0</v>
      </c>
      <c r="R76" s="394" t="str">
        <f>IF(ISERROR(Q76/Q14),"",Q76/Q14)</f>
        <v/>
      </c>
      <c r="S76" s="381">
        <f>SUM(S68,S70,S72,S74,S75)</f>
        <v>0</v>
      </c>
      <c r="T76" s="382" t="str">
        <f>IF(ISERROR(S76/S14),"",S76/S14)</f>
        <v/>
      </c>
      <c r="U76" s="381">
        <f t="shared" si="51"/>
        <v>0</v>
      </c>
      <c r="V76" s="117"/>
      <c r="W76" s="417">
        <f>SUM(W68,W70,W72,W74,W75)</f>
        <v>0</v>
      </c>
      <c r="X76" s="394" t="str">
        <f>IF(ISERROR(W76/W14),"",W76/W14)</f>
        <v/>
      </c>
      <c r="Y76" s="381">
        <f>SUM(Y68,Y70,Y72,Y74,Y75)</f>
        <v>0</v>
      </c>
      <c r="Z76" s="382" t="str">
        <f>IF(ISERROR(Y76/Y14),"",Y76/Y14)</f>
        <v/>
      </c>
      <c r="AA76" s="381">
        <f t="shared" si="52"/>
        <v>0</v>
      </c>
      <c r="AB76" s="117"/>
      <c r="AC76" s="417">
        <f>SUM(AC68,AC70,AC72,AC74,AC75)</f>
        <v>0</v>
      </c>
      <c r="AD76" s="394" t="str">
        <f>IF(ISERROR(AC76/AC14),"",AC76/AC14)</f>
        <v/>
      </c>
      <c r="AE76" s="381">
        <f>SUM(AE68,AE70,AE72,AE74,AE75)</f>
        <v>0</v>
      </c>
      <c r="AF76" s="382" t="str">
        <f>IF(ISERROR(AE76/AE14),"",AE76/AE14)</f>
        <v/>
      </c>
      <c r="AG76" s="381">
        <f t="shared" si="53"/>
        <v>0</v>
      </c>
      <c r="AH76" s="116" t="e">
        <f t="shared" si="54"/>
        <v>#VALUE!</v>
      </c>
      <c r="AI76" s="242">
        <f t="shared" si="55"/>
        <v>0</v>
      </c>
      <c r="AJ76" s="279" t="str">
        <f>IF(ISERROR(AI76/AI14),"",AI76/AI14)</f>
        <v/>
      </c>
      <c r="AK76" s="243">
        <f t="shared" si="56"/>
        <v>0</v>
      </c>
      <c r="AL76" s="279" t="str">
        <f>IF(ISERROR(AK76/AK14),"",AK76/AK14)</f>
        <v/>
      </c>
      <c r="AM76" s="243">
        <f t="shared" si="57"/>
        <v>0</v>
      </c>
      <c r="AN76" s="117"/>
      <c r="AO76" s="99"/>
      <c r="AP76" s="417">
        <f>SUM(AP68,AP70,AP72,AP74,AP75)</f>
        <v>0</v>
      </c>
      <c r="AQ76" s="394" t="str">
        <f>IF(ISERROR(AP76/AP14),"",AP76/AP14)</f>
        <v/>
      </c>
      <c r="AR76" s="381">
        <f>SUM(AR68,AR70,AR72,AR74,AR75)</f>
        <v>0</v>
      </c>
      <c r="AS76" s="382" t="str">
        <f>IF(ISERROR(AR76/AR14),"",AR76/AR14)</f>
        <v/>
      </c>
      <c r="AT76" s="381">
        <f t="shared" si="58"/>
        <v>0</v>
      </c>
      <c r="AU76" s="117"/>
      <c r="AV76" s="417">
        <f>SUM(AV68,AV70,AV72,AV74,AV75)</f>
        <v>0</v>
      </c>
      <c r="AW76" s="394" t="str">
        <f>IF(ISERROR(AV76/AV14),"",AV76/AV14)</f>
        <v/>
      </c>
      <c r="AX76" s="381">
        <f>SUM(AX68,AX70,AX72,AX74,AX75)</f>
        <v>0</v>
      </c>
      <c r="AY76" s="382" t="str">
        <f>IF(ISERROR(AX76/AX14),"",AX76/AX14)</f>
        <v/>
      </c>
      <c r="AZ76" s="381">
        <f t="shared" si="59"/>
        <v>0</v>
      </c>
      <c r="BA76" s="117"/>
      <c r="BB76" s="417">
        <f>SUM(BB68,BB70,BB72,BB74,BB75)</f>
        <v>0</v>
      </c>
      <c r="BC76" s="394" t="str">
        <f>IF(ISERROR(BB76/BB14),"",BB76/BB14)</f>
        <v/>
      </c>
      <c r="BD76" s="381">
        <f>SUM(BD68,BD70,BD72,BD74,BD75)</f>
        <v>0</v>
      </c>
      <c r="BE76" s="382" t="str">
        <f>IF(ISERROR(BD76/BD14),"",BD76/BD14)</f>
        <v/>
      </c>
      <c r="BF76" s="381">
        <f t="shared" si="60"/>
        <v>0</v>
      </c>
      <c r="BG76" s="117"/>
      <c r="BH76" s="242">
        <f t="shared" si="61"/>
        <v>0</v>
      </c>
      <c r="BI76" s="279" t="str">
        <f>IF(ISERROR(BH76/BH14),"",BH76/BH14)</f>
        <v/>
      </c>
      <c r="BJ76" s="243">
        <f t="shared" si="62"/>
        <v>0</v>
      </c>
      <c r="BK76" s="279" t="str">
        <f>IF(ISERROR(BJ76/BJ14),"",BJ76/BJ14)</f>
        <v/>
      </c>
      <c r="BL76" s="243">
        <f t="shared" si="63"/>
        <v>0</v>
      </c>
      <c r="BM76" s="117"/>
      <c r="BN76" s="99"/>
      <c r="BO76" s="417">
        <f>SUM(BO68,BO70,BO72,BO74,BO75)</f>
        <v>0</v>
      </c>
      <c r="BP76" s="394" t="str">
        <f>IF(ISERROR(BO76/BO14),"",BO76/BO14)</f>
        <v/>
      </c>
      <c r="BQ76" s="381">
        <f>SUM(BQ68,BQ70,BQ72,BQ74,BQ75)</f>
        <v>0</v>
      </c>
      <c r="BR76" s="382" t="str">
        <f>IF(ISERROR(BQ76/BQ14),"",BQ76/BQ14)</f>
        <v/>
      </c>
      <c r="BS76" s="381">
        <f t="shared" si="64"/>
        <v>0</v>
      </c>
      <c r="BT76" s="117"/>
      <c r="BU76" s="417">
        <f>SUM(BU68,BU70,BU72,BU74,BU75)</f>
        <v>0</v>
      </c>
      <c r="BV76" s="394" t="str">
        <f>IF(ISERROR(BU76/BU14),"",BU76/BU14)</f>
        <v/>
      </c>
      <c r="BW76" s="381">
        <f>SUM(BW68,BW70,BW72,BW74,BW75)</f>
        <v>0</v>
      </c>
      <c r="BX76" s="382" t="str">
        <f>IF(ISERROR(BW76/BW14),"",BW76/BW14)</f>
        <v/>
      </c>
      <c r="BY76" s="381">
        <f t="shared" si="65"/>
        <v>0</v>
      </c>
      <c r="BZ76" s="117"/>
      <c r="CA76" s="417">
        <f>SUM(CA68,CA70,CA72,CA74,CA75)</f>
        <v>0</v>
      </c>
      <c r="CB76" s="394" t="str">
        <f>IF(ISERROR(CA76/CA14),"",CA76/CA14)</f>
        <v/>
      </c>
      <c r="CC76" s="381">
        <f>SUM(CC68,CC70,CC72,CC74,CC75)</f>
        <v>0</v>
      </c>
      <c r="CD76" s="382" t="str">
        <f>IF(ISERROR(CC76/CC14),"",CC76/CC14)</f>
        <v/>
      </c>
      <c r="CE76" s="381">
        <f t="shared" si="66"/>
        <v>0</v>
      </c>
      <c r="CF76" s="117"/>
      <c r="CG76" s="242">
        <f t="shared" si="67"/>
        <v>0</v>
      </c>
      <c r="CH76" s="279" t="str">
        <f>IF(ISERROR(CG76/CG14),"",CG76/CG14)</f>
        <v/>
      </c>
      <c r="CI76" s="243">
        <f t="shared" si="68"/>
        <v>0</v>
      </c>
      <c r="CJ76" s="279" t="str">
        <f>IF(ISERROR(CI76/CI14),"",CI76/CI14)</f>
        <v/>
      </c>
      <c r="CK76" s="243">
        <f t="shared" si="69"/>
        <v>0</v>
      </c>
      <c r="CL76" s="117"/>
      <c r="CM76" s="100"/>
      <c r="CN76" s="417">
        <f>SUM(CN68,CN70,CN72,CN74,CN75)</f>
        <v>0</v>
      </c>
      <c r="CO76" s="394" t="str">
        <f>IF(ISERROR(CN76/CN14),"",CN76/CN14)</f>
        <v/>
      </c>
      <c r="CP76" s="381">
        <f>SUM(CP68,CP70,CP72,CP74,CP75)</f>
        <v>0</v>
      </c>
      <c r="CQ76" s="382" t="str">
        <f>IF(ISERROR(CP76/CP14),"",CP76/CP14)</f>
        <v/>
      </c>
      <c r="CR76" s="381">
        <f t="shared" si="70"/>
        <v>0</v>
      </c>
      <c r="CS76" s="117"/>
      <c r="CT76" s="417">
        <f>SUM(CT68,CT70,CT72,CT74,CT75)</f>
        <v>0</v>
      </c>
      <c r="CU76" s="394" t="str">
        <f>IF(ISERROR(CT76/CT14),"",CT76/CT14)</f>
        <v/>
      </c>
      <c r="CV76" s="381">
        <f>SUM(CV68,CV70,CV72,CV74,CV75)</f>
        <v>0</v>
      </c>
      <c r="CW76" s="382" t="str">
        <f>IF(ISERROR(CV76/CV14),"",CV76/CV14)</f>
        <v/>
      </c>
      <c r="CX76" s="381">
        <f t="shared" si="71"/>
        <v>0</v>
      </c>
      <c r="CY76" s="117"/>
      <c r="CZ76" s="417">
        <f>SUM(CZ68,CZ70,CZ72,CZ74,CZ75)</f>
        <v>0</v>
      </c>
      <c r="DA76" s="394" t="str">
        <f>IF(ISERROR(CZ76/CZ14),"",CZ76/CZ14)</f>
        <v/>
      </c>
      <c r="DB76" s="381">
        <f>SUM(DB68,DB70,DB72,DB74,DB75)</f>
        <v>0</v>
      </c>
      <c r="DC76" s="382" t="str">
        <f>IF(ISERROR(DB76/DB14),"",DB76/DB14)</f>
        <v/>
      </c>
      <c r="DD76" s="381">
        <f t="shared" si="72"/>
        <v>0</v>
      </c>
      <c r="DE76" s="117"/>
      <c r="DF76" s="242">
        <f t="shared" si="73"/>
        <v>0</v>
      </c>
      <c r="DG76" s="279" t="str">
        <f>IF(ISERROR(DF76/DF14),"",DF76/DF14)</f>
        <v/>
      </c>
      <c r="DH76" s="243">
        <f t="shared" si="74"/>
        <v>0</v>
      </c>
      <c r="DI76" s="279" t="str">
        <f>IF(ISERROR(DH76/DH14),"",DH76/DH14)</f>
        <v/>
      </c>
      <c r="DJ76" s="243">
        <f t="shared" si="75"/>
        <v>0</v>
      </c>
      <c r="DK76" s="14"/>
    </row>
    <row r="77" spans="1:115" s="3" customFormat="1" ht="21.75" customHeight="1" outlineLevel="1" thickTop="1" thickBot="1" x14ac:dyDescent="0.3">
      <c r="A77" s="80">
        <v>68</v>
      </c>
      <c r="B77" s="618"/>
      <c r="C77" s="761"/>
      <c r="D77" s="661"/>
      <c r="E77" s="640" t="s">
        <v>86</v>
      </c>
      <c r="F77" s="641"/>
      <c r="G77" s="641"/>
      <c r="H77" s="641"/>
      <c r="I77" s="642"/>
      <c r="J77" s="230">
        <f t="shared" si="47"/>
        <v>0</v>
      </c>
      <c r="K77" s="296" t="str">
        <f>IF(ISERROR(J77/J14),"",J77/J14)</f>
        <v/>
      </c>
      <c r="L77" s="231">
        <f t="shared" si="48"/>
        <v>0</v>
      </c>
      <c r="M77" s="296" t="str">
        <f>IF(ISERROR(L77/L14),"",L77/L14)</f>
        <v/>
      </c>
      <c r="N77" s="207">
        <f t="shared" si="49"/>
        <v>0</v>
      </c>
      <c r="O77" s="45" t="e">
        <f t="shared" si="50"/>
        <v>#VALUE!</v>
      </c>
      <c r="P77" s="47"/>
      <c r="Q77" s="504"/>
      <c r="R77" s="416" t="str">
        <f>IF(ISERROR(Q77/Q14),"",Q77/Q14)</f>
        <v/>
      </c>
      <c r="S77" s="371"/>
      <c r="T77" s="359" t="str">
        <f>IF(ISERROR(S77/S14),"",S77/S14)</f>
        <v/>
      </c>
      <c r="U77" s="358">
        <f t="shared" si="51"/>
        <v>0</v>
      </c>
      <c r="V77" s="102"/>
      <c r="W77" s="504"/>
      <c r="X77" s="416" t="str">
        <f>IF(ISERROR(W77/W14),"",W77/W14)</f>
        <v/>
      </c>
      <c r="Y77" s="371"/>
      <c r="Z77" s="359" t="str">
        <f>IF(ISERROR(Y77/Y14),"",Y77/Y14)</f>
        <v/>
      </c>
      <c r="AA77" s="358">
        <f t="shared" si="52"/>
        <v>0</v>
      </c>
      <c r="AB77" s="102"/>
      <c r="AC77" s="504"/>
      <c r="AD77" s="416" t="str">
        <f>IF(ISERROR(AC77/AC14),"",AC77/AC14)</f>
        <v/>
      </c>
      <c r="AE77" s="371"/>
      <c r="AF77" s="359" t="str">
        <f>IF(ISERROR(AE77/AE14),"",AE77/AE14)</f>
        <v/>
      </c>
      <c r="AG77" s="358">
        <f t="shared" si="53"/>
        <v>0</v>
      </c>
      <c r="AH77" s="103" t="e">
        <f t="shared" si="54"/>
        <v>#VALUE!</v>
      </c>
      <c r="AI77" s="286">
        <f t="shared" si="55"/>
        <v>0</v>
      </c>
      <c r="AJ77" s="296" t="str">
        <f>IF(ISERROR(AI77/AI14),"",AI77/AI14)</f>
        <v/>
      </c>
      <c r="AK77" s="231">
        <f t="shared" si="56"/>
        <v>0</v>
      </c>
      <c r="AL77" s="296" t="str">
        <f>IF(ISERROR(AK77/AK14),"",AK77/AK14)</f>
        <v/>
      </c>
      <c r="AM77" s="231">
        <f t="shared" si="57"/>
        <v>0</v>
      </c>
      <c r="AN77" s="102"/>
      <c r="AO77" s="99"/>
      <c r="AP77" s="504"/>
      <c r="AQ77" s="416" t="str">
        <f>IF(ISERROR(AP77/AP14),"",AP77/AP14)</f>
        <v/>
      </c>
      <c r="AR77" s="371"/>
      <c r="AS77" s="359" t="str">
        <f>IF(ISERROR(AR77/AR14),"",AR77/AR14)</f>
        <v/>
      </c>
      <c r="AT77" s="358">
        <f t="shared" si="58"/>
        <v>0</v>
      </c>
      <c r="AU77" s="102"/>
      <c r="AV77" s="504"/>
      <c r="AW77" s="416" t="str">
        <f>IF(ISERROR(AV77/AV14),"",AV77/AV14)</f>
        <v/>
      </c>
      <c r="AX77" s="371"/>
      <c r="AY77" s="359" t="str">
        <f>IF(ISERROR(AX77/AX14),"",AX77/AX14)</f>
        <v/>
      </c>
      <c r="AZ77" s="358">
        <f t="shared" si="59"/>
        <v>0</v>
      </c>
      <c r="BA77" s="102"/>
      <c r="BB77" s="504"/>
      <c r="BC77" s="416" t="str">
        <f>IF(ISERROR(BB77/BB14),"",BB77/BB14)</f>
        <v/>
      </c>
      <c r="BD77" s="371"/>
      <c r="BE77" s="359" t="str">
        <f>IF(ISERROR(BD77/BD14),"",BD77/BD14)</f>
        <v/>
      </c>
      <c r="BF77" s="358">
        <f t="shared" si="60"/>
        <v>0</v>
      </c>
      <c r="BG77" s="102"/>
      <c r="BH77" s="286">
        <f t="shared" si="61"/>
        <v>0</v>
      </c>
      <c r="BI77" s="296" t="str">
        <f>IF(ISERROR(BH77/BH14),"",BH77/BH14)</f>
        <v/>
      </c>
      <c r="BJ77" s="231">
        <f t="shared" si="62"/>
        <v>0</v>
      </c>
      <c r="BK77" s="296" t="str">
        <f>IF(ISERROR(BJ77/BJ14),"",BJ77/BJ14)</f>
        <v/>
      </c>
      <c r="BL77" s="231">
        <f t="shared" si="63"/>
        <v>0</v>
      </c>
      <c r="BM77" s="102"/>
      <c r="BN77" s="99"/>
      <c r="BO77" s="504"/>
      <c r="BP77" s="416" t="str">
        <f>IF(ISERROR(BO77/BO14),"",BO77/BO14)</f>
        <v/>
      </c>
      <c r="BQ77" s="371"/>
      <c r="BR77" s="359" t="str">
        <f>IF(ISERROR(BQ77/BQ14),"",BQ77/BQ14)</f>
        <v/>
      </c>
      <c r="BS77" s="358">
        <f t="shared" si="64"/>
        <v>0</v>
      </c>
      <c r="BT77" s="102"/>
      <c r="BU77" s="504"/>
      <c r="BV77" s="416" t="str">
        <f>IF(ISERROR(BU77/BU14),"",BU77/BU14)</f>
        <v/>
      </c>
      <c r="BW77" s="371"/>
      <c r="BX77" s="359" t="str">
        <f>IF(ISERROR(BW77/BW14),"",BW77/BW14)</f>
        <v/>
      </c>
      <c r="BY77" s="358">
        <f t="shared" si="65"/>
        <v>0</v>
      </c>
      <c r="BZ77" s="102"/>
      <c r="CA77" s="504"/>
      <c r="CB77" s="416" t="str">
        <f>IF(ISERROR(CA77/CA14),"",CA77/CA14)</f>
        <v/>
      </c>
      <c r="CC77" s="371"/>
      <c r="CD77" s="359" t="str">
        <f>IF(ISERROR(CC77/CC14),"",CC77/CC14)</f>
        <v/>
      </c>
      <c r="CE77" s="358">
        <f t="shared" si="66"/>
        <v>0</v>
      </c>
      <c r="CF77" s="102"/>
      <c r="CG77" s="286">
        <f t="shared" si="67"/>
        <v>0</v>
      </c>
      <c r="CH77" s="296" t="str">
        <f>IF(ISERROR(CG77/CG14),"",CG77/CG14)</f>
        <v/>
      </c>
      <c r="CI77" s="231">
        <f t="shared" si="68"/>
        <v>0</v>
      </c>
      <c r="CJ77" s="296" t="str">
        <f>IF(ISERROR(CI77/CI14),"",CI77/CI14)</f>
        <v/>
      </c>
      <c r="CK77" s="231">
        <f t="shared" si="69"/>
        <v>0</v>
      </c>
      <c r="CL77" s="102"/>
      <c r="CM77" s="100"/>
      <c r="CN77" s="504"/>
      <c r="CO77" s="416" t="str">
        <f>IF(ISERROR(CN77/CN14),"",CN77/CN14)</f>
        <v/>
      </c>
      <c r="CP77" s="371"/>
      <c r="CQ77" s="359" t="str">
        <f>IF(ISERROR(CP77/CP14),"",CP77/CP14)</f>
        <v/>
      </c>
      <c r="CR77" s="358">
        <f t="shared" si="70"/>
        <v>0</v>
      </c>
      <c r="CS77" s="102"/>
      <c r="CT77" s="504"/>
      <c r="CU77" s="416" t="str">
        <f>IF(ISERROR(CT77/CT14),"",CT77/CT14)</f>
        <v/>
      </c>
      <c r="CV77" s="371"/>
      <c r="CW77" s="359" t="str">
        <f>IF(ISERROR(CV77/CV14),"",CV77/CV14)</f>
        <v/>
      </c>
      <c r="CX77" s="358">
        <f t="shared" si="71"/>
        <v>0</v>
      </c>
      <c r="CY77" s="102"/>
      <c r="CZ77" s="504"/>
      <c r="DA77" s="416" t="str">
        <f>IF(ISERROR(CZ77/CZ14),"",CZ77/CZ14)</f>
        <v/>
      </c>
      <c r="DB77" s="371"/>
      <c r="DC77" s="359" t="str">
        <f>IF(ISERROR(DB77/DB14),"",DB77/DB14)</f>
        <v/>
      </c>
      <c r="DD77" s="358">
        <f t="shared" si="72"/>
        <v>0</v>
      </c>
      <c r="DE77" s="102"/>
      <c r="DF77" s="286">
        <f t="shared" si="73"/>
        <v>0</v>
      </c>
      <c r="DG77" s="296" t="str">
        <f>IF(ISERROR(DF77/DF14),"",DF77/DF14)</f>
        <v/>
      </c>
      <c r="DH77" s="231">
        <f t="shared" si="74"/>
        <v>0</v>
      </c>
      <c r="DI77" s="296" t="str">
        <f>IF(ISERROR(DH77/DH14),"",DH77/DH14)</f>
        <v/>
      </c>
      <c r="DJ77" s="231">
        <f t="shared" si="75"/>
        <v>0</v>
      </c>
      <c r="DK77" s="8"/>
    </row>
    <row r="78" spans="1:115" s="3" customFormat="1" ht="21.75" customHeight="1" outlineLevel="1" thickTop="1" thickBot="1" x14ac:dyDescent="0.3">
      <c r="A78" s="80">
        <v>69</v>
      </c>
      <c r="B78" s="618"/>
      <c r="C78" s="761"/>
      <c r="D78" s="661"/>
      <c r="E78" s="530" t="s">
        <v>87</v>
      </c>
      <c r="F78" s="531"/>
      <c r="G78" s="531"/>
      <c r="H78" s="531"/>
      <c r="I78" s="532"/>
      <c r="J78" s="254">
        <f t="shared" si="47"/>
        <v>0</v>
      </c>
      <c r="K78" s="281" t="str">
        <f>IF(ISERROR(J78/J14),"",J78/J14)</f>
        <v/>
      </c>
      <c r="L78" s="255">
        <f t="shared" si="48"/>
        <v>0</v>
      </c>
      <c r="M78" s="281" t="str">
        <f>IF(ISERROR(L78/L14),"",L78/L14)</f>
        <v/>
      </c>
      <c r="N78" s="219">
        <f t="shared" si="49"/>
        <v>0</v>
      </c>
      <c r="O78" s="58" t="e">
        <f t="shared" si="50"/>
        <v>#VALUE!</v>
      </c>
      <c r="P78" s="47"/>
      <c r="Q78" s="410">
        <f>Q76-Q77</f>
        <v>0</v>
      </c>
      <c r="R78" s="372" t="str">
        <f>IF(ISERROR(Q78/Q14),"",Q78/Q14)</f>
        <v/>
      </c>
      <c r="S78" s="384">
        <f>S76-S77</f>
        <v>0</v>
      </c>
      <c r="T78" s="385" t="str">
        <f>IF(ISERROR(S78/S14),"",S78/S14)</f>
        <v/>
      </c>
      <c r="U78" s="384">
        <f t="shared" si="51"/>
        <v>0</v>
      </c>
      <c r="V78" s="131"/>
      <c r="W78" s="410">
        <f>W76-W77</f>
        <v>0</v>
      </c>
      <c r="X78" s="372" t="str">
        <f>IF(ISERROR(W78/W14),"",W78/W14)</f>
        <v/>
      </c>
      <c r="Y78" s="384">
        <f>Y76-Y77</f>
        <v>0</v>
      </c>
      <c r="Z78" s="385" t="str">
        <f>IF(ISERROR(Y78/Y14),"",Y78/Y14)</f>
        <v/>
      </c>
      <c r="AA78" s="384">
        <f t="shared" si="52"/>
        <v>0</v>
      </c>
      <c r="AB78" s="131"/>
      <c r="AC78" s="410">
        <f>AC76-AC77</f>
        <v>0</v>
      </c>
      <c r="AD78" s="372" t="str">
        <f>IF(ISERROR(AC78/AC14),"",AC78/AC14)</f>
        <v/>
      </c>
      <c r="AE78" s="384">
        <f>AE76-AE77</f>
        <v>0</v>
      </c>
      <c r="AF78" s="385" t="str">
        <f>IF(ISERROR(AE78/AE14),"",AE78/AE14)</f>
        <v/>
      </c>
      <c r="AG78" s="384">
        <f t="shared" si="53"/>
        <v>0</v>
      </c>
      <c r="AH78" s="130" t="e">
        <f t="shared" si="54"/>
        <v>#VALUE!</v>
      </c>
      <c r="AI78" s="254">
        <f t="shared" si="55"/>
        <v>0</v>
      </c>
      <c r="AJ78" s="281" t="str">
        <f>IF(ISERROR(AI78/AI14),"",AI78/AI14)</f>
        <v/>
      </c>
      <c r="AK78" s="255">
        <f t="shared" si="56"/>
        <v>0</v>
      </c>
      <c r="AL78" s="281" t="str">
        <f>IF(ISERROR(AK78/AK14),"",AK78/AK14)</f>
        <v/>
      </c>
      <c r="AM78" s="255">
        <f t="shared" si="57"/>
        <v>0</v>
      </c>
      <c r="AN78" s="131"/>
      <c r="AO78" s="99"/>
      <c r="AP78" s="410">
        <f>AP76-AP77</f>
        <v>0</v>
      </c>
      <c r="AQ78" s="372" t="str">
        <f>IF(ISERROR(AP78/AP14),"",AP78/AP14)</f>
        <v/>
      </c>
      <c r="AR78" s="384">
        <f>AR76-AR77</f>
        <v>0</v>
      </c>
      <c r="AS78" s="385" t="str">
        <f>IF(ISERROR(AR78/AR14),"",AR78/AR14)</f>
        <v/>
      </c>
      <c r="AT78" s="384">
        <f t="shared" si="58"/>
        <v>0</v>
      </c>
      <c r="AU78" s="131"/>
      <c r="AV78" s="410">
        <f>AV76-AV77</f>
        <v>0</v>
      </c>
      <c r="AW78" s="372" t="str">
        <f>IF(ISERROR(AV78/AV14),"",AV78/AV14)</f>
        <v/>
      </c>
      <c r="AX78" s="384">
        <f>AX76-AX77</f>
        <v>0</v>
      </c>
      <c r="AY78" s="385" t="str">
        <f>IF(ISERROR(AX78/AX14),"",AX78/AX14)</f>
        <v/>
      </c>
      <c r="AZ78" s="384">
        <f t="shared" si="59"/>
        <v>0</v>
      </c>
      <c r="BA78" s="131"/>
      <c r="BB78" s="410">
        <f>BB76-BB77</f>
        <v>0</v>
      </c>
      <c r="BC78" s="372" t="str">
        <f>IF(ISERROR(BB78/BB14),"",BB78/BB14)</f>
        <v/>
      </c>
      <c r="BD78" s="384">
        <f>BD76-BD77</f>
        <v>0</v>
      </c>
      <c r="BE78" s="385" t="str">
        <f>IF(ISERROR(BD78/BD14),"",BD78/BD14)</f>
        <v/>
      </c>
      <c r="BF78" s="384">
        <f t="shared" si="60"/>
        <v>0</v>
      </c>
      <c r="BG78" s="131"/>
      <c r="BH78" s="254">
        <f t="shared" si="61"/>
        <v>0</v>
      </c>
      <c r="BI78" s="281" t="str">
        <f>IF(ISERROR(BH78/BH14),"",BH78/BH14)</f>
        <v/>
      </c>
      <c r="BJ78" s="255">
        <f t="shared" si="62"/>
        <v>0</v>
      </c>
      <c r="BK78" s="281" t="str">
        <f>IF(ISERROR(BJ78/BJ14),"",BJ78/BJ14)</f>
        <v/>
      </c>
      <c r="BL78" s="255">
        <f t="shared" si="63"/>
        <v>0</v>
      </c>
      <c r="BM78" s="131"/>
      <c r="BN78" s="99"/>
      <c r="BO78" s="410">
        <f>BO76-BO77</f>
        <v>0</v>
      </c>
      <c r="BP78" s="372" t="str">
        <f>IF(ISERROR(BO78/BO14),"",BO78/BO14)</f>
        <v/>
      </c>
      <c r="BQ78" s="384">
        <f>BQ76-BQ77</f>
        <v>0</v>
      </c>
      <c r="BR78" s="385" t="str">
        <f>IF(ISERROR(BQ78/BQ14),"",BQ78/BQ14)</f>
        <v/>
      </c>
      <c r="BS78" s="384">
        <f t="shared" si="64"/>
        <v>0</v>
      </c>
      <c r="BT78" s="131"/>
      <c r="BU78" s="410">
        <f>BU76-BU77</f>
        <v>0</v>
      </c>
      <c r="BV78" s="372" t="str">
        <f>IF(ISERROR(BU78/BU14),"",BU78/BU14)</f>
        <v/>
      </c>
      <c r="BW78" s="384">
        <f>BW76-BW77</f>
        <v>0</v>
      </c>
      <c r="BX78" s="385" t="str">
        <f>IF(ISERROR(BW78/BW14),"",BW78/BW14)</f>
        <v/>
      </c>
      <c r="BY78" s="384">
        <f t="shared" si="65"/>
        <v>0</v>
      </c>
      <c r="BZ78" s="131"/>
      <c r="CA78" s="410">
        <f>CA76-CA77</f>
        <v>0</v>
      </c>
      <c r="CB78" s="372" t="str">
        <f>IF(ISERROR(CA78/CA14),"",CA78/CA14)</f>
        <v/>
      </c>
      <c r="CC78" s="384">
        <f>CC76-CC77</f>
        <v>0</v>
      </c>
      <c r="CD78" s="385" t="str">
        <f>IF(ISERROR(CC78/CC14),"",CC78/CC14)</f>
        <v/>
      </c>
      <c r="CE78" s="384">
        <f t="shared" si="66"/>
        <v>0</v>
      </c>
      <c r="CF78" s="131"/>
      <c r="CG78" s="254">
        <f t="shared" si="67"/>
        <v>0</v>
      </c>
      <c r="CH78" s="281" t="str">
        <f>IF(ISERROR(CG78/CG14),"",CG78/CG14)</f>
        <v/>
      </c>
      <c r="CI78" s="255">
        <f t="shared" si="68"/>
        <v>0</v>
      </c>
      <c r="CJ78" s="281" t="str">
        <f>IF(ISERROR(CI78/CI14),"",CI78/CI14)</f>
        <v/>
      </c>
      <c r="CK78" s="255">
        <f t="shared" si="69"/>
        <v>0</v>
      </c>
      <c r="CL78" s="131"/>
      <c r="CM78" s="100"/>
      <c r="CN78" s="410">
        <f>CN76-CN77</f>
        <v>0</v>
      </c>
      <c r="CO78" s="372" t="str">
        <f>IF(ISERROR(CN78/CN14),"",CN78/CN14)</f>
        <v/>
      </c>
      <c r="CP78" s="384">
        <f>CP76-CP77</f>
        <v>0</v>
      </c>
      <c r="CQ78" s="385" t="str">
        <f>IF(ISERROR(CP78/CP14),"",CP78/CP14)</f>
        <v/>
      </c>
      <c r="CR78" s="384">
        <f t="shared" si="70"/>
        <v>0</v>
      </c>
      <c r="CS78" s="131"/>
      <c r="CT78" s="410">
        <f>CT76-CT77</f>
        <v>0</v>
      </c>
      <c r="CU78" s="372" t="str">
        <f>IF(ISERROR(CT78/CT14),"",CT78/CT14)</f>
        <v/>
      </c>
      <c r="CV78" s="384">
        <f>CV76-CV77</f>
        <v>0</v>
      </c>
      <c r="CW78" s="385" t="str">
        <f>IF(ISERROR(CV78/CV14),"",CV78/CV14)</f>
        <v/>
      </c>
      <c r="CX78" s="384">
        <f t="shared" si="71"/>
        <v>0</v>
      </c>
      <c r="CY78" s="131"/>
      <c r="CZ78" s="410">
        <f>CZ76-CZ77</f>
        <v>0</v>
      </c>
      <c r="DA78" s="372" t="str">
        <f>IF(ISERROR(CZ78/CZ14),"",CZ78/CZ14)</f>
        <v/>
      </c>
      <c r="DB78" s="384">
        <f>DB76-DB77</f>
        <v>0</v>
      </c>
      <c r="DC78" s="385" t="str">
        <f>IF(ISERROR(DB78/DB14),"",DB78/DB14)</f>
        <v/>
      </c>
      <c r="DD78" s="384">
        <f t="shared" si="72"/>
        <v>0</v>
      </c>
      <c r="DE78" s="131"/>
      <c r="DF78" s="254">
        <f t="shared" si="73"/>
        <v>0</v>
      </c>
      <c r="DG78" s="281" t="str">
        <f>IF(ISERROR(DF78/DF14),"",DF78/DF14)</f>
        <v/>
      </c>
      <c r="DH78" s="255">
        <f t="shared" si="74"/>
        <v>0</v>
      </c>
      <c r="DI78" s="281" t="str">
        <f>IF(ISERROR(DH78/DH14),"",DH78/DH14)</f>
        <v/>
      </c>
      <c r="DJ78" s="255">
        <f t="shared" si="75"/>
        <v>0</v>
      </c>
      <c r="DK78" s="20"/>
    </row>
    <row r="79" spans="1:115" s="3" customFormat="1" ht="21.75" customHeight="1" outlineLevel="1" thickTop="1" thickBot="1" x14ac:dyDescent="0.3">
      <c r="A79" s="80">
        <v>70</v>
      </c>
      <c r="B79" s="618"/>
      <c r="C79" s="761"/>
      <c r="D79" s="661"/>
      <c r="E79" s="655" t="s">
        <v>158</v>
      </c>
      <c r="F79" s="634" t="s">
        <v>79</v>
      </c>
      <c r="G79" s="635"/>
      <c r="H79" s="635"/>
      <c r="I79" s="636"/>
      <c r="J79" s="325">
        <f t="shared" si="47"/>
        <v>0</v>
      </c>
      <c r="K79" s="326"/>
      <c r="L79" s="273">
        <f t="shared" si="48"/>
        <v>0</v>
      </c>
      <c r="M79" s="326"/>
      <c r="N79" s="207">
        <f t="shared" si="49"/>
        <v>0</v>
      </c>
      <c r="O79" s="319"/>
      <c r="P79" s="320"/>
      <c r="Q79" s="503"/>
      <c r="R79" s="497"/>
      <c r="S79" s="395"/>
      <c r="T79" s="396"/>
      <c r="U79" s="397"/>
      <c r="V79" s="321"/>
      <c r="W79" s="503"/>
      <c r="X79" s="497"/>
      <c r="Y79" s="395"/>
      <c r="Z79" s="396"/>
      <c r="AA79" s="397"/>
      <c r="AB79" s="321"/>
      <c r="AC79" s="503"/>
      <c r="AD79" s="497"/>
      <c r="AE79" s="395"/>
      <c r="AF79" s="396"/>
      <c r="AG79" s="397"/>
      <c r="AH79" s="322"/>
      <c r="AI79" s="286">
        <f t="shared" ref="AI79" si="76">SUM(Q79,W79,AC79)</f>
        <v>0</v>
      </c>
      <c r="AJ79" s="296"/>
      <c r="AK79" s="273">
        <f t="shared" ref="AK79" si="77">SUM(S79,Y79,AE79)</f>
        <v>0</v>
      </c>
      <c r="AL79" s="296"/>
      <c r="AM79" s="273">
        <f t="shared" ref="AM79" si="78">AI79-AK79</f>
        <v>0</v>
      </c>
      <c r="AN79" s="321"/>
      <c r="AO79" s="323"/>
      <c r="AP79" s="503"/>
      <c r="AQ79" s="497"/>
      <c r="AR79" s="395"/>
      <c r="AS79" s="396"/>
      <c r="AT79" s="397"/>
      <c r="AU79" s="321"/>
      <c r="AV79" s="503"/>
      <c r="AW79" s="497"/>
      <c r="AX79" s="395"/>
      <c r="AY79" s="396"/>
      <c r="AZ79" s="397"/>
      <c r="BA79" s="321"/>
      <c r="BB79" s="503"/>
      <c r="BC79" s="497"/>
      <c r="BD79" s="395"/>
      <c r="BE79" s="396"/>
      <c r="BF79" s="397"/>
      <c r="BG79" s="321"/>
      <c r="BH79" s="286">
        <f t="shared" ref="BH79" si="79">SUM(AP79,AV79,BB79)</f>
        <v>0</v>
      </c>
      <c r="BI79" s="296"/>
      <c r="BJ79" s="273">
        <f t="shared" ref="BJ79" si="80">SUM(AR79,AX79,BD79)</f>
        <v>0</v>
      </c>
      <c r="BK79" s="296"/>
      <c r="BL79" s="273">
        <f t="shared" ref="BL79" si="81">BH79-BJ79</f>
        <v>0</v>
      </c>
      <c r="BM79" s="321"/>
      <c r="BN79" s="323"/>
      <c r="BO79" s="503"/>
      <c r="BP79" s="497"/>
      <c r="BQ79" s="395"/>
      <c r="BR79" s="396"/>
      <c r="BS79" s="397"/>
      <c r="BT79" s="321"/>
      <c r="BU79" s="503"/>
      <c r="BV79" s="497"/>
      <c r="BW79" s="395"/>
      <c r="BX79" s="396"/>
      <c r="BY79" s="397"/>
      <c r="BZ79" s="321"/>
      <c r="CA79" s="503"/>
      <c r="CB79" s="497"/>
      <c r="CC79" s="395"/>
      <c r="CD79" s="396"/>
      <c r="CE79" s="397"/>
      <c r="CF79" s="321"/>
      <c r="CG79" s="286">
        <f t="shared" si="67"/>
        <v>0</v>
      </c>
      <c r="CH79" s="296"/>
      <c r="CI79" s="273">
        <f t="shared" si="68"/>
        <v>0</v>
      </c>
      <c r="CJ79" s="296"/>
      <c r="CK79" s="273">
        <f t="shared" si="69"/>
        <v>0</v>
      </c>
      <c r="CL79" s="321"/>
      <c r="CM79" s="324"/>
      <c r="CN79" s="503"/>
      <c r="CO79" s="497"/>
      <c r="CP79" s="395"/>
      <c r="CQ79" s="396"/>
      <c r="CR79" s="397"/>
      <c r="CS79" s="321"/>
      <c r="CT79" s="503"/>
      <c r="CU79" s="497"/>
      <c r="CV79" s="395"/>
      <c r="CW79" s="396"/>
      <c r="CX79" s="397"/>
      <c r="CY79" s="321"/>
      <c r="CZ79" s="503"/>
      <c r="DA79" s="497"/>
      <c r="DB79" s="395"/>
      <c r="DC79" s="396"/>
      <c r="DD79" s="397"/>
      <c r="DE79" s="321"/>
      <c r="DF79" s="286">
        <f t="shared" si="73"/>
        <v>0</v>
      </c>
      <c r="DG79" s="296"/>
      <c r="DH79" s="273">
        <f t="shared" si="74"/>
        <v>0</v>
      </c>
      <c r="DI79" s="296"/>
      <c r="DJ79" s="273">
        <f t="shared" si="75"/>
        <v>0</v>
      </c>
      <c r="DK79" s="20"/>
    </row>
    <row r="80" spans="1:115" s="3" customFormat="1" ht="21.75" customHeight="1" outlineLevel="1" thickTop="1" x14ac:dyDescent="0.25">
      <c r="A80" s="80">
        <v>71</v>
      </c>
      <c r="B80" s="618"/>
      <c r="C80" s="761"/>
      <c r="D80" s="661"/>
      <c r="E80" s="656"/>
      <c r="F80" s="657" t="s">
        <v>80</v>
      </c>
      <c r="G80" s="658"/>
      <c r="H80" s="658"/>
      <c r="I80" s="659"/>
      <c r="J80" s="230">
        <f t="shared" si="47"/>
        <v>0</v>
      </c>
      <c r="K80" s="296" t="str">
        <f>IF(ISERROR(J80/J14),"",J80/J14)</f>
        <v/>
      </c>
      <c r="L80" s="231">
        <f t="shared" si="48"/>
        <v>0</v>
      </c>
      <c r="M80" s="296" t="str">
        <f>IF(ISERROR(L80/L14),"",L80/L14)</f>
        <v/>
      </c>
      <c r="N80" s="207">
        <f t="shared" si="49"/>
        <v>0</v>
      </c>
      <c r="O80" s="45" t="e">
        <f t="shared" si="50"/>
        <v>#VALUE!</v>
      </c>
      <c r="P80" s="47"/>
      <c r="Q80" s="393">
        <f>IF(ISERROR(R80*Q14),"",R80*Q14)</f>
        <v>0</v>
      </c>
      <c r="R80" s="500"/>
      <c r="S80" s="371"/>
      <c r="T80" s="359" t="str">
        <f>IF(ISERROR(S80/S14),"",S80/S14)</f>
        <v/>
      </c>
      <c r="U80" s="358">
        <f t="shared" si="51"/>
        <v>0</v>
      </c>
      <c r="V80" s="102"/>
      <c r="W80" s="393">
        <f>IF(ISERROR(X80*W14),"",X80*W14)</f>
        <v>0</v>
      </c>
      <c r="X80" s="500"/>
      <c r="Y80" s="371"/>
      <c r="Z80" s="359" t="str">
        <f>IF(ISERROR(Y80/Y14),"",Y80/Y14)</f>
        <v/>
      </c>
      <c r="AA80" s="358">
        <f t="shared" ref="AA80:AA81" si="82">W80-Y80</f>
        <v>0</v>
      </c>
      <c r="AB80" s="102"/>
      <c r="AC80" s="393">
        <f>IF(ISERROR(AD80*AC14),"",AD80*AC14)</f>
        <v>0</v>
      </c>
      <c r="AD80" s="500"/>
      <c r="AE80" s="371"/>
      <c r="AF80" s="359" t="str">
        <f>IF(ISERROR(AE80/AE14),"",AE80/AE14)</f>
        <v/>
      </c>
      <c r="AG80" s="358">
        <f t="shared" ref="AG80:AG81" si="83">AC80-AE80</f>
        <v>0</v>
      </c>
      <c r="AH80" s="103" t="e">
        <f t="shared" si="54"/>
        <v>#VALUE!</v>
      </c>
      <c r="AI80" s="286">
        <f t="shared" si="55"/>
        <v>0</v>
      </c>
      <c r="AJ80" s="296" t="str">
        <f>IF(ISERROR(AI80/AI14),"",AI80/AI14)</f>
        <v/>
      </c>
      <c r="AK80" s="231">
        <f t="shared" si="56"/>
        <v>0</v>
      </c>
      <c r="AL80" s="296" t="str">
        <f>IF(ISERROR(AK80/AK14),"",AK80/AK14)</f>
        <v/>
      </c>
      <c r="AM80" s="231">
        <f t="shared" si="57"/>
        <v>0</v>
      </c>
      <c r="AN80" s="102"/>
      <c r="AO80" s="99"/>
      <c r="AP80" s="393">
        <f>IF(ISERROR(AQ80*AP14),"",AQ80*AP14)</f>
        <v>0</v>
      </c>
      <c r="AQ80" s="500"/>
      <c r="AR80" s="371"/>
      <c r="AS80" s="359" t="str">
        <f>IF(ISERROR(AR80/AR14),"",AR80/AR14)</f>
        <v/>
      </c>
      <c r="AT80" s="358">
        <f t="shared" ref="AT80:AT81" si="84">AP80-AR80</f>
        <v>0</v>
      </c>
      <c r="AU80" s="102"/>
      <c r="AV80" s="393">
        <f>IF(ISERROR(AW80*AV14),"",AW80*AV14)</f>
        <v>0</v>
      </c>
      <c r="AW80" s="500"/>
      <c r="AX80" s="371"/>
      <c r="AY80" s="359" t="str">
        <f>IF(ISERROR(AX80/AX14),"",AX80/AX14)</f>
        <v/>
      </c>
      <c r="AZ80" s="358">
        <f t="shared" ref="AZ80:AZ81" si="85">AV80-AX80</f>
        <v>0</v>
      </c>
      <c r="BA80" s="102"/>
      <c r="BB80" s="393">
        <f>IF(ISERROR(BC80*BB14),"",BC80*BB14)</f>
        <v>0</v>
      </c>
      <c r="BC80" s="500"/>
      <c r="BD80" s="371"/>
      <c r="BE80" s="359" t="str">
        <f>IF(ISERROR(BD80/BD14),"",BD80/BD14)</f>
        <v/>
      </c>
      <c r="BF80" s="358">
        <f t="shared" ref="BF80:BF81" si="86">BB80-BD80</f>
        <v>0</v>
      </c>
      <c r="BG80" s="102"/>
      <c r="BH80" s="286">
        <f t="shared" si="61"/>
        <v>0</v>
      </c>
      <c r="BI80" s="296" t="str">
        <f>IF(ISERROR(BH80/BH14),"",BH80/BH14)</f>
        <v/>
      </c>
      <c r="BJ80" s="231">
        <f t="shared" si="62"/>
        <v>0</v>
      </c>
      <c r="BK80" s="296" t="str">
        <f>IF(ISERROR(BJ80/BJ14),"",BJ80/BJ14)</f>
        <v/>
      </c>
      <c r="BL80" s="231">
        <f t="shared" si="63"/>
        <v>0</v>
      </c>
      <c r="BM80" s="102"/>
      <c r="BN80" s="99"/>
      <c r="BO80" s="393">
        <f>IF(ISERROR(BP80*BO14),"",BP80*BO14)</f>
        <v>0</v>
      </c>
      <c r="BP80" s="500"/>
      <c r="BQ80" s="371"/>
      <c r="BR80" s="359" t="str">
        <f>IF(ISERROR(BQ80/BQ14),"",BQ80/BQ14)</f>
        <v/>
      </c>
      <c r="BS80" s="358">
        <f t="shared" ref="BS80:BS81" si="87">BO80-BQ80</f>
        <v>0</v>
      </c>
      <c r="BT80" s="102"/>
      <c r="BU80" s="393">
        <f>IF(ISERROR(BV80*BU14),"",BV80*BU14)</f>
        <v>0</v>
      </c>
      <c r="BV80" s="500"/>
      <c r="BW80" s="371"/>
      <c r="BX80" s="359" t="str">
        <f>IF(ISERROR(BW80/BW14),"",BW80/BW14)</f>
        <v/>
      </c>
      <c r="BY80" s="358">
        <f t="shared" ref="BY80:BY81" si="88">BU80-BW80</f>
        <v>0</v>
      </c>
      <c r="BZ80" s="102"/>
      <c r="CA80" s="393">
        <f>IF(ISERROR(CB80*CA14),"",CB80*CA14)</f>
        <v>0</v>
      </c>
      <c r="CB80" s="500"/>
      <c r="CC80" s="371"/>
      <c r="CD80" s="359" t="str">
        <f>IF(ISERROR(CC80/CC14),"",CC80/CC14)</f>
        <v/>
      </c>
      <c r="CE80" s="358">
        <f t="shared" ref="CE80:CE81" si="89">CA80-CC80</f>
        <v>0</v>
      </c>
      <c r="CF80" s="102"/>
      <c r="CG80" s="286">
        <f t="shared" si="67"/>
        <v>0</v>
      </c>
      <c r="CH80" s="296" t="str">
        <f>IF(ISERROR(CG80/CG14),"",CG80/CG14)</f>
        <v/>
      </c>
      <c r="CI80" s="231">
        <f t="shared" si="68"/>
        <v>0</v>
      </c>
      <c r="CJ80" s="296" t="str">
        <f>IF(ISERROR(CI80/CI14),"",CI80/CI14)</f>
        <v/>
      </c>
      <c r="CK80" s="231">
        <f t="shared" si="69"/>
        <v>0</v>
      </c>
      <c r="CL80" s="102"/>
      <c r="CM80" s="100"/>
      <c r="CN80" s="393">
        <f>IF(ISERROR(CO80*CN14),"",CO80*CN14)</f>
        <v>0</v>
      </c>
      <c r="CO80" s="500"/>
      <c r="CP80" s="371"/>
      <c r="CQ80" s="359" t="str">
        <f>IF(ISERROR(CP80/CP14),"",CP80/CP14)</f>
        <v/>
      </c>
      <c r="CR80" s="358">
        <f t="shared" ref="CR80:CR81" si="90">CN80-CP80</f>
        <v>0</v>
      </c>
      <c r="CS80" s="102"/>
      <c r="CT80" s="393">
        <f>IF(ISERROR(CU80*CT14),"",CU80*CT14)</f>
        <v>0</v>
      </c>
      <c r="CU80" s="500"/>
      <c r="CV80" s="371"/>
      <c r="CW80" s="359" t="str">
        <f>IF(ISERROR(CV80/CV14),"",CV80/CV14)</f>
        <v/>
      </c>
      <c r="CX80" s="358">
        <f t="shared" ref="CX80:CX81" si="91">CT80-CV80</f>
        <v>0</v>
      </c>
      <c r="CY80" s="102"/>
      <c r="CZ80" s="393">
        <f>IF(ISERROR(DA80*CZ14),"",DA80*CZ14)</f>
        <v>0</v>
      </c>
      <c r="DA80" s="500"/>
      <c r="DB80" s="371"/>
      <c r="DC80" s="359" t="str">
        <f>IF(ISERROR(DB80/DB14),"",DB80/DB14)</f>
        <v/>
      </c>
      <c r="DD80" s="358">
        <f t="shared" ref="DD80:DD81" si="92">CZ80-DB80</f>
        <v>0</v>
      </c>
      <c r="DE80" s="102"/>
      <c r="DF80" s="286">
        <f t="shared" si="73"/>
        <v>0</v>
      </c>
      <c r="DG80" s="296" t="str">
        <f>IF(ISERROR(DF80/DF14),"",DF80/DF14)</f>
        <v/>
      </c>
      <c r="DH80" s="231">
        <f t="shared" si="74"/>
        <v>0</v>
      </c>
      <c r="DI80" s="296" t="str">
        <f>IF(ISERROR(DH80/DH14),"",DH80/DH14)</f>
        <v/>
      </c>
      <c r="DJ80" s="231">
        <f t="shared" si="75"/>
        <v>0</v>
      </c>
      <c r="DK80" s="8"/>
    </row>
    <row r="81" spans="1:115" s="3" customFormat="1" ht="21.75" customHeight="1" outlineLevel="1" x14ac:dyDescent="0.25">
      <c r="A81" s="80">
        <v>72</v>
      </c>
      <c r="B81" s="618"/>
      <c r="C81" s="761"/>
      <c r="D81" s="661"/>
      <c r="E81" s="640" t="s">
        <v>88</v>
      </c>
      <c r="F81" s="641"/>
      <c r="G81" s="641"/>
      <c r="H81" s="641"/>
      <c r="I81" s="642"/>
      <c r="J81" s="230">
        <f t="shared" si="47"/>
        <v>0</v>
      </c>
      <c r="K81" s="296" t="str">
        <f>IF(ISERROR(J81/J14),"",J81/J14)</f>
        <v/>
      </c>
      <c r="L81" s="231">
        <f t="shared" si="48"/>
        <v>0</v>
      </c>
      <c r="M81" s="296" t="str">
        <f>IF(ISERROR(L81/L14),"",L81/L14)</f>
        <v/>
      </c>
      <c r="N81" s="207">
        <f t="shared" si="49"/>
        <v>0</v>
      </c>
      <c r="O81" s="45" t="e">
        <f t="shared" si="50"/>
        <v>#VALUE!</v>
      </c>
      <c r="P81" s="47"/>
      <c r="Q81" s="398">
        <f>IF(ISERROR(R81*Q14),"",R81*Q14)</f>
        <v>0</v>
      </c>
      <c r="R81" s="501"/>
      <c r="S81" s="371"/>
      <c r="T81" s="359" t="str">
        <f>IF(ISERROR(S81/S14),"",S81/S14)</f>
        <v/>
      </c>
      <c r="U81" s="358">
        <f t="shared" si="51"/>
        <v>0</v>
      </c>
      <c r="V81" s="102"/>
      <c r="W81" s="398">
        <f>IF(ISERROR(X81*W14),"",X81*W14)</f>
        <v>0</v>
      </c>
      <c r="X81" s="501"/>
      <c r="Y81" s="371"/>
      <c r="Z81" s="359" t="str">
        <f>IF(ISERROR(Y81/Y14),"",Y81/Y14)</f>
        <v/>
      </c>
      <c r="AA81" s="358">
        <f t="shared" si="82"/>
        <v>0</v>
      </c>
      <c r="AB81" s="102"/>
      <c r="AC81" s="398">
        <f>IF(ISERROR(AD81*AC14),"",AD81*AC14)</f>
        <v>0</v>
      </c>
      <c r="AD81" s="501"/>
      <c r="AE81" s="371"/>
      <c r="AF81" s="359" t="str">
        <f>IF(ISERROR(AE81/AE14),"",AE81/AE14)</f>
        <v/>
      </c>
      <c r="AG81" s="358">
        <f t="shared" si="83"/>
        <v>0</v>
      </c>
      <c r="AH81" s="103" t="e">
        <f t="shared" si="54"/>
        <v>#VALUE!</v>
      </c>
      <c r="AI81" s="286">
        <f t="shared" si="55"/>
        <v>0</v>
      </c>
      <c r="AJ81" s="296" t="str">
        <f>IF(ISERROR(AI81/AI14),"",AI81/AI14)</f>
        <v/>
      </c>
      <c r="AK81" s="231">
        <f t="shared" si="56"/>
        <v>0</v>
      </c>
      <c r="AL81" s="296" t="str">
        <f>IF(ISERROR(AK81/AK14),"",AK81/AK14)</f>
        <v/>
      </c>
      <c r="AM81" s="231">
        <f t="shared" si="57"/>
        <v>0</v>
      </c>
      <c r="AN81" s="102"/>
      <c r="AO81" s="99"/>
      <c r="AP81" s="398">
        <f>IF(ISERROR(AQ81*AP14),"",AQ81*AP14)</f>
        <v>0</v>
      </c>
      <c r="AQ81" s="501"/>
      <c r="AR81" s="371"/>
      <c r="AS81" s="359" t="str">
        <f>IF(ISERROR(AR81/AR14),"",AR81/AR14)</f>
        <v/>
      </c>
      <c r="AT81" s="358">
        <f t="shared" si="84"/>
        <v>0</v>
      </c>
      <c r="AU81" s="102"/>
      <c r="AV81" s="398">
        <f>IF(ISERROR(AW81*AV14),"",AW81*AV14)</f>
        <v>0</v>
      </c>
      <c r="AW81" s="501"/>
      <c r="AX81" s="371"/>
      <c r="AY81" s="359" t="str">
        <f>IF(ISERROR(AX81/AX14),"",AX81/AX14)</f>
        <v/>
      </c>
      <c r="AZ81" s="358">
        <f t="shared" si="85"/>
        <v>0</v>
      </c>
      <c r="BA81" s="102"/>
      <c r="BB81" s="398">
        <f>IF(ISERROR(BC81*BB14),"",BC81*BB14)</f>
        <v>0</v>
      </c>
      <c r="BC81" s="501"/>
      <c r="BD81" s="371"/>
      <c r="BE81" s="359" t="str">
        <f>IF(ISERROR(BD81/BD14),"",BD81/BD14)</f>
        <v/>
      </c>
      <c r="BF81" s="358">
        <f t="shared" si="86"/>
        <v>0</v>
      </c>
      <c r="BG81" s="102"/>
      <c r="BH81" s="286">
        <f t="shared" si="61"/>
        <v>0</v>
      </c>
      <c r="BI81" s="296" t="str">
        <f>IF(ISERROR(BH81/BH14),"",BH81/BH14)</f>
        <v/>
      </c>
      <c r="BJ81" s="231">
        <f t="shared" si="62"/>
        <v>0</v>
      </c>
      <c r="BK81" s="296" t="str">
        <f>IF(ISERROR(BJ81/BJ14),"",BJ81/BJ14)</f>
        <v/>
      </c>
      <c r="BL81" s="231">
        <f t="shared" si="63"/>
        <v>0</v>
      </c>
      <c r="BM81" s="102"/>
      <c r="BN81" s="99"/>
      <c r="BO81" s="398">
        <f>IF(ISERROR(BP81*BO14),"",BP81*BO14)</f>
        <v>0</v>
      </c>
      <c r="BP81" s="501"/>
      <c r="BQ81" s="371"/>
      <c r="BR81" s="359" t="str">
        <f>IF(ISERROR(BQ81/BQ14),"",BQ81/BQ14)</f>
        <v/>
      </c>
      <c r="BS81" s="358">
        <f t="shared" si="87"/>
        <v>0</v>
      </c>
      <c r="BT81" s="102"/>
      <c r="BU81" s="398">
        <f>IF(ISERROR(BV81*BU14),"",BV81*BU14)</f>
        <v>0</v>
      </c>
      <c r="BV81" s="501"/>
      <c r="BW81" s="371"/>
      <c r="BX81" s="359" t="str">
        <f>IF(ISERROR(BW81/BW14),"",BW81/BW14)</f>
        <v/>
      </c>
      <c r="BY81" s="358">
        <f t="shared" si="88"/>
        <v>0</v>
      </c>
      <c r="BZ81" s="102"/>
      <c r="CA81" s="398">
        <f>IF(ISERROR(CB81*CA14),"",CB81*CA14)</f>
        <v>0</v>
      </c>
      <c r="CB81" s="501"/>
      <c r="CC81" s="371"/>
      <c r="CD81" s="359" t="str">
        <f>IF(ISERROR(CC81/CC14),"",CC81/CC14)</f>
        <v/>
      </c>
      <c r="CE81" s="358">
        <f t="shared" si="89"/>
        <v>0</v>
      </c>
      <c r="CF81" s="102"/>
      <c r="CG81" s="286">
        <f t="shared" si="67"/>
        <v>0</v>
      </c>
      <c r="CH81" s="296" t="str">
        <f>IF(ISERROR(CG81/CG14),"",CG81/CG14)</f>
        <v/>
      </c>
      <c r="CI81" s="231">
        <f t="shared" si="68"/>
        <v>0</v>
      </c>
      <c r="CJ81" s="296" t="str">
        <f>IF(ISERROR(CI81/CI14),"",CI81/CI14)</f>
        <v/>
      </c>
      <c r="CK81" s="231">
        <f t="shared" si="69"/>
        <v>0</v>
      </c>
      <c r="CL81" s="102"/>
      <c r="CM81" s="100"/>
      <c r="CN81" s="398">
        <f>IF(ISERROR(CO81*CN14),"",CO81*CN14)</f>
        <v>0</v>
      </c>
      <c r="CO81" s="501"/>
      <c r="CP81" s="371"/>
      <c r="CQ81" s="359" t="str">
        <f>IF(ISERROR(CP81/CP14),"",CP81/CP14)</f>
        <v/>
      </c>
      <c r="CR81" s="358">
        <f t="shared" si="90"/>
        <v>0</v>
      </c>
      <c r="CS81" s="102"/>
      <c r="CT81" s="398">
        <f>IF(ISERROR(CU81*CT14),"",CU81*CT14)</f>
        <v>0</v>
      </c>
      <c r="CU81" s="501"/>
      <c r="CV81" s="371"/>
      <c r="CW81" s="359" t="str">
        <f>IF(ISERROR(CV81/CV14),"",CV81/CV14)</f>
        <v/>
      </c>
      <c r="CX81" s="358">
        <f t="shared" si="91"/>
        <v>0</v>
      </c>
      <c r="CY81" s="102"/>
      <c r="CZ81" s="398">
        <f>IF(ISERROR(DA81*CZ14),"",DA81*CZ14)</f>
        <v>0</v>
      </c>
      <c r="DA81" s="501"/>
      <c r="DB81" s="371"/>
      <c r="DC81" s="359" t="str">
        <f>IF(ISERROR(DB81/DB14),"",DB81/DB14)</f>
        <v/>
      </c>
      <c r="DD81" s="358">
        <f t="shared" si="92"/>
        <v>0</v>
      </c>
      <c r="DE81" s="102"/>
      <c r="DF81" s="286">
        <f t="shared" si="73"/>
        <v>0</v>
      </c>
      <c r="DG81" s="296" t="str">
        <f>IF(ISERROR(DF81/DF14),"",DF81/DF14)</f>
        <v/>
      </c>
      <c r="DH81" s="231">
        <f t="shared" si="74"/>
        <v>0</v>
      </c>
      <c r="DI81" s="296" t="str">
        <f>IF(ISERROR(DH81/DH14),"",DH81/DH14)</f>
        <v/>
      </c>
      <c r="DJ81" s="231">
        <f t="shared" si="75"/>
        <v>0</v>
      </c>
      <c r="DK81" s="8"/>
    </row>
    <row r="82" spans="1:115" s="3" customFormat="1" ht="21.75" customHeight="1" outlineLevel="1" x14ac:dyDescent="0.25">
      <c r="A82" s="80">
        <v>73</v>
      </c>
      <c r="B82" s="618"/>
      <c r="C82" s="761"/>
      <c r="D82" s="661"/>
      <c r="E82" s="640" t="s">
        <v>89</v>
      </c>
      <c r="F82" s="641"/>
      <c r="G82" s="641"/>
      <c r="H82" s="641"/>
      <c r="I82" s="642"/>
      <c r="J82" s="272">
        <f t="shared" si="47"/>
        <v>0</v>
      </c>
      <c r="K82" s="296" t="str">
        <f>IF(ISERROR(J82/J14),"",J82/J14)</f>
        <v/>
      </c>
      <c r="L82" s="273">
        <f t="shared" si="48"/>
        <v>0</v>
      </c>
      <c r="M82" s="296" t="str">
        <f>IF(ISERROR(L82/L14),"",L82/L14)</f>
        <v/>
      </c>
      <c r="N82" s="207">
        <f t="shared" si="49"/>
        <v>0</v>
      </c>
      <c r="O82" s="45"/>
      <c r="P82" s="47"/>
      <c r="Q82" s="398">
        <f>IF(ISERROR(R82*Q14),"",R82*Q14)</f>
        <v>0</v>
      </c>
      <c r="R82" s="501"/>
      <c r="S82" s="371"/>
      <c r="T82" s="359" t="str">
        <f>IF(ISERROR(S82/S14),"",S82/S14)</f>
        <v/>
      </c>
      <c r="U82" s="358"/>
      <c r="V82" s="102"/>
      <c r="W82" s="398">
        <f>IF(ISERROR(X82*W14),"",X82*W14)</f>
        <v>0</v>
      </c>
      <c r="X82" s="501"/>
      <c r="Y82" s="371"/>
      <c r="Z82" s="359" t="str">
        <f>IF(ISERROR(Y82/Y14),"",Y82/Y14)</f>
        <v/>
      </c>
      <c r="AA82" s="358"/>
      <c r="AB82" s="102"/>
      <c r="AC82" s="398">
        <f>IF(ISERROR(AD82*AC14),"",AD82*AC14)</f>
        <v>0</v>
      </c>
      <c r="AD82" s="501"/>
      <c r="AE82" s="371"/>
      <c r="AF82" s="359" t="str">
        <f>IF(ISERROR(AE82/AE14),"",AE82/AE14)</f>
        <v/>
      </c>
      <c r="AG82" s="358"/>
      <c r="AH82" s="103"/>
      <c r="AI82" s="286">
        <f t="shared" si="55"/>
        <v>0</v>
      </c>
      <c r="AJ82" s="296" t="str">
        <f>IF(ISERROR(AI82/AI14),"",AI82/AI14)</f>
        <v/>
      </c>
      <c r="AK82" s="231">
        <f t="shared" si="56"/>
        <v>0</v>
      </c>
      <c r="AL82" s="296" t="str">
        <f>IF(ISERROR(AK82/AK14),"",AK82/AK14)</f>
        <v/>
      </c>
      <c r="AM82" s="231"/>
      <c r="AN82" s="102"/>
      <c r="AO82" s="99"/>
      <c r="AP82" s="398">
        <f>IF(ISERROR(AQ82*AP14),"",AQ82*AP14)</f>
        <v>0</v>
      </c>
      <c r="AQ82" s="501"/>
      <c r="AR82" s="371"/>
      <c r="AS82" s="359" t="str">
        <f>IF(ISERROR(AR82/AR14),"",AR82/AR14)</f>
        <v/>
      </c>
      <c r="AT82" s="358"/>
      <c r="AU82" s="102"/>
      <c r="AV82" s="398">
        <f>IF(ISERROR(AW82*AV14),"",AW82*AV14)</f>
        <v>0</v>
      </c>
      <c r="AW82" s="501"/>
      <c r="AX82" s="371"/>
      <c r="AY82" s="359" t="str">
        <f>IF(ISERROR(AX82/AX14),"",AX82/AX14)</f>
        <v/>
      </c>
      <c r="AZ82" s="358"/>
      <c r="BA82" s="102"/>
      <c r="BB82" s="398">
        <f>IF(ISERROR(BC82*BB14),"",BC82*BB14)</f>
        <v>0</v>
      </c>
      <c r="BC82" s="501"/>
      <c r="BD82" s="371"/>
      <c r="BE82" s="359" t="str">
        <f>IF(ISERROR(BD82/BD14),"",BD82/BD14)</f>
        <v/>
      </c>
      <c r="BF82" s="358"/>
      <c r="BG82" s="102"/>
      <c r="BH82" s="286">
        <f t="shared" si="61"/>
        <v>0</v>
      </c>
      <c r="BI82" s="296" t="str">
        <f>IF(ISERROR(BH82/BH14),"",BH82/BH14)</f>
        <v/>
      </c>
      <c r="BJ82" s="231">
        <f t="shared" si="62"/>
        <v>0</v>
      </c>
      <c r="BK82" s="296" t="str">
        <f>IF(ISERROR(BJ82/BJ14),"",BJ82/BJ14)</f>
        <v/>
      </c>
      <c r="BL82" s="231"/>
      <c r="BM82" s="102"/>
      <c r="BN82" s="99"/>
      <c r="BO82" s="398">
        <f>IF(ISERROR(BP82*BO14),"",BP82*BO14)</f>
        <v>0</v>
      </c>
      <c r="BP82" s="501"/>
      <c r="BQ82" s="371"/>
      <c r="BR82" s="359" t="str">
        <f>IF(ISERROR(BQ82/BQ14),"",BQ82/BQ14)</f>
        <v/>
      </c>
      <c r="BS82" s="358"/>
      <c r="BT82" s="102"/>
      <c r="BU82" s="398">
        <f>IF(ISERROR(BV82*BU14),"",BV82*BU14)</f>
        <v>0</v>
      </c>
      <c r="BV82" s="501"/>
      <c r="BW82" s="371"/>
      <c r="BX82" s="359" t="str">
        <f>IF(ISERROR(BW82/BW14),"",BW82/BW14)</f>
        <v/>
      </c>
      <c r="BY82" s="358"/>
      <c r="BZ82" s="102"/>
      <c r="CA82" s="398">
        <f>IF(ISERROR(CB82*CA14),"",CB82*CA14)</f>
        <v>0</v>
      </c>
      <c r="CB82" s="501"/>
      <c r="CC82" s="371"/>
      <c r="CD82" s="359" t="str">
        <f>IF(ISERROR(CC82/CC14),"",CC82/CC14)</f>
        <v/>
      </c>
      <c r="CE82" s="358"/>
      <c r="CF82" s="102"/>
      <c r="CG82" s="286">
        <f t="shared" si="67"/>
        <v>0</v>
      </c>
      <c r="CH82" s="296" t="str">
        <f>IF(ISERROR(CG82/CG14),"",CG82/CG14)</f>
        <v/>
      </c>
      <c r="CI82" s="231">
        <f t="shared" si="68"/>
        <v>0</v>
      </c>
      <c r="CJ82" s="296" t="str">
        <f>IF(ISERROR(CI82/CI14),"",CI82/CI14)</f>
        <v/>
      </c>
      <c r="CK82" s="231"/>
      <c r="CL82" s="102"/>
      <c r="CM82" s="100"/>
      <c r="CN82" s="398">
        <f>IF(ISERROR(CO82*CN14),"",CO82*CN14)</f>
        <v>0</v>
      </c>
      <c r="CO82" s="501"/>
      <c r="CP82" s="371"/>
      <c r="CQ82" s="359" t="str">
        <f>IF(ISERROR(CP82/CP14),"",CP82/CP14)</f>
        <v/>
      </c>
      <c r="CR82" s="358"/>
      <c r="CS82" s="102"/>
      <c r="CT82" s="398">
        <f>IF(ISERROR(CU82*CT14),"",CU82*CT14)</f>
        <v>0</v>
      </c>
      <c r="CU82" s="501"/>
      <c r="CV82" s="371"/>
      <c r="CW82" s="359" t="str">
        <f>IF(ISERROR(CV82/CV14),"",CV82/CV14)</f>
        <v/>
      </c>
      <c r="CX82" s="358"/>
      <c r="CY82" s="102"/>
      <c r="CZ82" s="398">
        <f>IF(ISERROR(DA82*CZ14),"",DA82*CZ14)</f>
        <v>0</v>
      </c>
      <c r="DA82" s="501"/>
      <c r="DB82" s="371"/>
      <c r="DC82" s="359" t="str">
        <f>IF(ISERROR(DB82/DB14),"",DB82/DB14)</f>
        <v/>
      </c>
      <c r="DD82" s="358"/>
      <c r="DE82" s="102"/>
      <c r="DF82" s="286">
        <f t="shared" si="73"/>
        <v>0</v>
      </c>
      <c r="DG82" s="296" t="str">
        <f>IF(ISERROR(DF82/DF14),"",DF82/DF14)</f>
        <v/>
      </c>
      <c r="DH82" s="231">
        <f t="shared" si="74"/>
        <v>0</v>
      </c>
      <c r="DI82" s="296" t="str">
        <f>IF(ISERROR(DH82/DH14),"",DH82/DH14)</f>
        <v/>
      </c>
      <c r="DJ82" s="231"/>
      <c r="DK82" s="8"/>
    </row>
    <row r="83" spans="1:115" s="3" customFormat="1" ht="21.75" customHeight="1" outlineLevel="1" thickBot="1" x14ac:dyDescent="0.3">
      <c r="A83" s="80">
        <v>74</v>
      </c>
      <c r="B83" s="618"/>
      <c r="C83" s="761"/>
      <c r="D83" s="661"/>
      <c r="E83" s="640" t="s">
        <v>90</v>
      </c>
      <c r="F83" s="641"/>
      <c r="G83" s="641"/>
      <c r="H83" s="641"/>
      <c r="I83" s="642"/>
      <c r="J83" s="230">
        <f t="shared" ref="J83:J123" si="93">SUM(Q83,W83,AC83,AP83,AV83,BB83,BO83,BU83,CA83,CN83,CT83,CZ83)</f>
        <v>0</v>
      </c>
      <c r="K83" s="296" t="str">
        <f>IF(ISERROR(J83/J14),"",J83/J14)</f>
        <v/>
      </c>
      <c r="L83" s="231">
        <f t="shared" ref="L83:L123" si="94">SUM(S83,Y83,AE83,AR83,AX83,BD83,BQ83,BW83,CC83,CP83,CV83,DB83)</f>
        <v>0</v>
      </c>
      <c r="M83" s="296" t="str">
        <f>IF(ISERROR(L83/L14),"",L83/L14)</f>
        <v/>
      </c>
      <c r="N83" s="207">
        <f t="shared" si="49"/>
        <v>0</v>
      </c>
      <c r="O83" s="45" t="e">
        <f t="shared" ref="O83:O123" si="95">SUM(V83,AB83,AH83,AU83,BA83,BG83,BT83,BZ83,CF83,CS83,CY83,DE83)</f>
        <v>#VALUE!</v>
      </c>
      <c r="P83" s="47"/>
      <c r="Q83" s="398">
        <f>IF(ISERROR(R83*Q14),"",R83*Q14)</f>
        <v>0</v>
      </c>
      <c r="R83" s="502"/>
      <c r="S83" s="371"/>
      <c r="T83" s="377" t="str">
        <f>IF(ISERROR(S83/S14),"",S83/S14)</f>
        <v/>
      </c>
      <c r="U83" s="358">
        <f t="shared" ref="U83:U123" si="96">Q83-S83</f>
        <v>0</v>
      </c>
      <c r="V83" s="102"/>
      <c r="W83" s="398">
        <f>IF(ISERROR(X83*W14),"",X83*W14)</f>
        <v>0</v>
      </c>
      <c r="X83" s="502"/>
      <c r="Y83" s="371"/>
      <c r="Z83" s="377" t="str">
        <f>IF(ISERROR(Y83/Y14),"",Y83/Y14)</f>
        <v/>
      </c>
      <c r="AA83" s="358">
        <f t="shared" ref="AA83" si="97">W83-Y83</f>
        <v>0</v>
      </c>
      <c r="AB83" s="102"/>
      <c r="AC83" s="398">
        <f>IF(ISERROR(AD83*AC14),"",AD83*AC14)</f>
        <v>0</v>
      </c>
      <c r="AD83" s="502"/>
      <c r="AE83" s="371"/>
      <c r="AF83" s="377" t="str">
        <f>IF(ISERROR(AE83/AE14),"",AE83/AE14)</f>
        <v/>
      </c>
      <c r="AG83" s="358">
        <f t="shared" ref="AG83" si="98">AC83-AE83</f>
        <v>0</v>
      </c>
      <c r="AH83" s="103" t="e">
        <f t="shared" ref="AH83:AH123" si="99">AE83-AF83</f>
        <v>#VALUE!</v>
      </c>
      <c r="AI83" s="286">
        <f t="shared" si="55"/>
        <v>0</v>
      </c>
      <c r="AJ83" s="296" t="str">
        <f>IF(ISERROR(AI83/AI14),"",AI83/AI14)</f>
        <v/>
      </c>
      <c r="AK83" s="231">
        <f t="shared" si="56"/>
        <v>0</v>
      </c>
      <c r="AL83" s="296" t="str">
        <f>IF(ISERROR(AK83/AK14),"",AK83/AK14)</f>
        <v/>
      </c>
      <c r="AM83" s="231">
        <f t="shared" ref="AM83:AM123" si="100">AI83-AK83</f>
        <v>0</v>
      </c>
      <c r="AN83" s="102"/>
      <c r="AO83" s="99"/>
      <c r="AP83" s="398">
        <f>IF(ISERROR(AQ83*AP14),"",AQ83*AP14)</f>
        <v>0</v>
      </c>
      <c r="AQ83" s="502"/>
      <c r="AR83" s="371"/>
      <c r="AS83" s="377" t="str">
        <f>IF(ISERROR(AR83/AR14),"",AR83/AR14)</f>
        <v/>
      </c>
      <c r="AT83" s="358">
        <f t="shared" ref="AT83" si="101">AP83-AR83</f>
        <v>0</v>
      </c>
      <c r="AU83" s="102"/>
      <c r="AV83" s="398">
        <f>IF(ISERROR(AW83*AV14),"",AW83*AV14)</f>
        <v>0</v>
      </c>
      <c r="AW83" s="502"/>
      <c r="AX83" s="371"/>
      <c r="AY83" s="377" t="str">
        <f>IF(ISERROR(AX83/AX14),"",AX83/AX14)</f>
        <v/>
      </c>
      <c r="AZ83" s="358">
        <f t="shared" ref="AZ83" si="102">AV83-AX83</f>
        <v>0</v>
      </c>
      <c r="BA83" s="102"/>
      <c r="BB83" s="398">
        <f>IF(ISERROR(BC83*BB14),"",BC83*BB14)</f>
        <v>0</v>
      </c>
      <c r="BC83" s="502"/>
      <c r="BD83" s="371"/>
      <c r="BE83" s="377" t="str">
        <f>IF(ISERROR(BD83/BD14),"",BD83/BD14)</f>
        <v/>
      </c>
      <c r="BF83" s="358">
        <f t="shared" ref="BF83" si="103">BB83-BD83</f>
        <v>0</v>
      </c>
      <c r="BG83" s="102"/>
      <c r="BH83" s="286">
        <f t="shared" si="61"/>
        <v>0</v>
      </c>
      <c r="BI83" s="296" t="str">
        <f>IF(ISERROR(BH83/BH14),"",BH83/BH14)</f>
        <v/>
      </c>
      <c r="BJ83" s="231">
        <f t="shared" si="62"/>
        <v>0</v>
      </c>
      <c r="BK83" s="296" t="str">
        <f>IF(ISERROR(BJ83/BJ14),"",BJ83/BJ14)</f>
        <v/>
      </c>
      <c r="BL83" s="231">
        <f t="shared" ref="BL83:BL123" si="104">BH83-BJ83</f>
        <v>0</v>
      </c>
      <c r="BM83" s="102"/>
      <c r="BN83" s="99"/>
      <c r="BO83" s="398">
        <f>IF(ISERROR(BP83*BO14),"",BP83*BO14)</f>
        <v>0</v>
      </c>
      <c r="BP83" s="502"/>
      <c r="BQ83" s="371"/>
      <c r="BR83" s="377" t="str">
        <f>IF(ISERROR(BQ83/BQ14),"",BQ83/BQ14)</f>
        <v/>
      </c>
      <c r="BS83" s="358">
        <f t="shared" ref="BS83" si="105">BO83-BQ83</f>
        <v>0</v>
      </c>
      <c r="BT83" s="102"/>
      <c r="BU83" s="398">
        <f>IF(ISERROR(BV83*BU14),"",BV83*BU14)</f>
        <v>0</v>
      </c>
      <c r="BV83" s="502"/>
      <c r="BW83" s="371"/>
      <c r="BX83" s="377" t="str">
        <f>IF(ISERROR(BW83/BW14),"",BW83/BW14)</f>
        <v/>
      </c>
      <c r="BY83" s="358">
        <f t="shared" ref="BY83" si="106">BU83-BW83</f>
        <v>0</v>
      </c>
      <c r="BZ83" s="102"/>
      <c r="CA83" s="398">
        <f>IF(ISERROR(CB83*CA14),"",CB83*CA14)</f>
        <v>0</v>
      </c>
      <c r="CB83" s="502"/>
      <c r="CC83" s="371"/>
      <c r="CD83" s="377" t="str">
        <f>IF(ISERROR(CC83/CC14),"",CC83/CC14)</f>
        <v/>
      </c>
      <c r="CE83" s="358">
        <f t="shared" ref="CE83" si="107">CA83-CC83</f>
        <v>0</v>
      </c>
      <c r="CF83" s="102"/>
      <c r="CG83" s="286">
        <f t="shared" si="67"/>
        <v>0</v>
      </c>
      <c r="CH83" s="296" t="str">
        <f>IF(ISERROR(CG83/CG14),"",CG83/CG14)</f>
        <v/>
      </c>
      <c r="CI83" s="231">
        <f t="shared" si="68"/>
        <v>0</v>
      </c>
      <c r="CJ83" s="296" t="str">
        <f>IF(ISERROR(CI83/CI14),"",CI83/CI14)</f>
        <v/>
      </c>
      <c r="CK83" s="231">
        <f t="shared" ref="CK83:CK123" si="108">CG83-CI83</f>
        <v>0</v>
      </c>
      <c r="CL83" s="102"/>
      <c r="CM83" s="100"/>
      <c r="CN83" s="398">
        <f>IF(ISERROR(CO83*CN14),"",CO83*CN14)</f>
        <v>0</v>
      </c>
      <c r="CO83" s="502"/>
      <c r="CP83" s="371"/>
      <c r="CQ83" s="377" t="str">
        <f>IF(ISERROR(CP83/CP14),"",CP83/CP14)</f>
        <v/>
      </c>
      <c r="CR83" s="358">
        <f t="shared" ref="CR83" si="109">CN83-CP83</f>
        <v>0</v>
      </c>
      <c r="CS83" s="102"/>
      <c r="CT83" s="398">
        <f>IF(ISERROR(CU83*CT14),"",CU83*CT14)</f>
        <v>0</v>
      </c>
      <c r="CU83" s="502"/>
      <c r="CV83" s="371"/>
      <c r="CW83" s="377" t="str">
        <f>IF(ISERROR(CV83/CV14),"",CV83/CV14)</f>
        <v/>
      </c>
      <c r="CX83" s="358">
        <f t="shared" ref="CX83" si="110">CT83-CV83</f>
        <v>0</v>
      </c>
      <c r="CY83" s="102"/>
      <c r="CZ83" s="398">
        <f>IF(ISERROR(DA83*CZ14),"",DA83*CZ14)</f>
        <v>0</v>
      </c>
      <c r="DA83" s="502"/>
      <c r="DB83" s="371"/>
      <c r="DC83" s="377" t="str">
        <f>IF(ISERROR(DB83/DB14),"",DB83/DB14)</f>
        <v/>
      </c>
      <c r="DD83" s="358">
        <f t="shared" ref="DD83" si="111">CZ83-DB83</f>
        <v>0</v>
      </c>
      <c r="DE83" s="102"/>
      <c r="DF83" s="286">
        <f t="shared" si="73"/>
        <v>0</v>
      </c>
      <c r="DG83" s="296" t="str">
        <f>IF(ISERROR(DF83/DF14),"",DF83/DF14)</f>
        <v/>
      </c>
      <c r="DH83" s="231">
        <f t="shared" si="74"/>
        <v>0</v>
      </c>
      <c r="DI83" s="296" t="str">
        <f>IF(ISERROR(DH83/DH14),"",DH83/DH14)</f>
        <v/>
      </c>
      <c r="DJ83" s="231">
        <f t="shared" ref="DJ83:DJ123" si="112">DF83-DH83</f>
        <v>0</v>
      </c>
      <c r="DK83" s="8"/>
    </row>
    <row r="84" spans="1:115" s="3" customFormat="1" ht="21.75" customHeight="1" outlineLevel="1" thickTop="1" x14ac:dyDescent="0.25">
      <c r="A84" s="80">
        <v>75</v>
      </c>
      <c r="B84" s="618"/>
      <c r="C84" s="761"/>
      <c r="D84" s="661"/>
      <c r="E84" s="530" t="s">
        <v>159</v>
      </c>
      <c r="F84" s="531"/>
      <c r="G84" s="531"/>
      <c r="H84" s="531"/>
      <c r="I84" s="532"/>
      <c r="J84" s="250">
        <f t="shared" si="93"/>
        <v>0</v>
      </c>
      <c r="K84" s="353" t="str">
        <f>IF(ISERROR(J84/J65),"",J84/J65)</f>
        <v/>
      </c>
      <c r="L84" s="251">
        <f t="shared" si="94"/>
        <v>0</v>
      </c>
      <c r="M84" s="353" t="str">
        <f>IF(ISERROR(L84/L65),"",L84/L65)</f>
        <v/>
      </c>
      <c r="N84" s="217">
        <f t="shared" si="49"/>
        <v>0</v>
      </c>
      <c r="O84" s="51"/>
      <c r="P84" s="47"/>
      <c r="Q84" s="399">
        <f>SUM(Q78,Q80:Q82)</f>
        <v>0</v>
      </c>
      <c r="R84" s="498" t="str">
        <f>IF(ISERROR(Q84/Q65),"",Q84/Q65)</f>
        <v/>
      </c>
      <c r="S84" s="400">
        <f>SUM(S78,S80:S82)</f>
        <v>0</v>
      </c>
      <c r="T84" s="401" t="str">
        <f>IF(ISERROR(S84/S65),"",S84/S65)</f>
        <v/>
      </c>
      <c r="U84" s="390"/>
      <c r="V84" s="332"/>
      <c r="W84" s="399">
        <f>SUM(W78,W80:W82)</f>
        <v>0</v>
      </c>
      <c r="X84" s="498" t="str">
        <f>IF(ISERROR(W84/W65),"",W84/W65)</f>
        <v/>
      </c>
      <c r="Y84" s="400">
        <f>SUM(Y78,Y80:Y82)</f>
        <v>0</v>
      </c>
      <c r="Z84" s="401" t="str">
        <f>IF(ISERROR(Y84/Y65),"",Y84/Y65)</f>
        <v/>
      </c>
      <c r="AA84" s="390"/>
      <c r="AB84" s="332"/>
      <c r="AC84" s="399">
        <f>SUM(AC78,AC80:AC82)</f>
        <v>0</v>
      </c>
      <c r="AD84" s="498" t="str">
        <f>IF(ISERROR(AC84/AC65),"",AC84/AC65)</f>
        <v/>
      </c>
      <c r="AE84" s="400">
        <f>SUM(AE78,AE80:AE82)</f>
        <v>0</v>
      </c>
      <c r="AF84" s="401" t="str">
        <f>IF(ISERROR(AE84/AE65),"",AE84/AE65)</f>
        <v/>
      </c>
      <c r="AG84" s="390"/>
      <c r="AH84" s="333"/>
      <c r="AI84" s="334">
        <f t="shared" si="55"/>
        <v>0</v>
      </c>
      <c r="AJ84" s="301"/>
      <c r="AK84" s="251"/>
      <c r="AL84" s="301"/>
      <c r="AM84" s="251"/>
      <c r="AN84" s="114"/>
      <c r="AO84" s="99"/>
      <c r="AP84" s="399">
        <f>SUM(AP78,AP80:AP82)</f>
        <v>0</v>
      </c>
      <c r="AQ84" s="498" t="str">
        <f>IF(ISERROR(AP84/AP65),"",AP84/AP65)</f>
        <v/>
      </c>
      <c r="AR84" s="400">
        <f>SUM(AR78,AR80:AR82)</f>
        <v>0</v>
      </c>
      <c r="AS84" s="401" t="str">
        <f>IF(ISERROR(AR84/AR65),"",AR84/AR65)</f>
        <v/>
      </c>
      <c r="AT84" s="390"/>
      <c r="AU84" s="332"/>
      <c r="AV84" s="399">
        <f>SUM(AV78,AV80:AV82)</f>
        <v>0</v>
      </c>
      <c r="AW84" s="498" t="str">
        <f>IF(ISERROR(AV84/AV65),"",AV84/AV65)</f>
        <v/>
      </c>
      <c r="AX84" s="400">
        <f>SUM(AX78,AX80:AX82)</f>
        <v>0</v>
      </c>
      <c r="AY84" s="401" t="str">
        <f>IF(ISERROR(AX84/AX65),"",AX84/AX65)</f>
        <v/>
      </c>
      <c r="AZ84" s="390"/>
      <c r="BA84" s="332"/>
      <c r="BB84" s="399">
        <f>SUM(BB78,BB80:BB82)</f>
        <v>0</v>
      </c>
      <c r="BC84" s="498" t="str">
        <f>IF(ISERROR(BB84/BB65),"",BB84/BB65)</f>
        <v/>
      </c>
      <c r="BD84" s="400">
        <f>SUM(BD78,BD80:BD82)</f>
        <v>0</v>
      </c>
      <c r="BE84" s="401" t="str">
        <f>IF(ISERROR(BD84/BD65),"",BD84/BD65)</f>
        <v/>
      </c>
      <c r="BF84" s="390"/>
      <c r="BG84" s="332"/>
      <c r="BH84" s="335">
        <f t="shared" si="61"/>
        <v>0</v>
      </c>
      <c r="BI84" s="301"/>
      <c r="BJ84" s="251">
        <f t="shared" si="62"/>
        <v>0</v>
      </c>
      <c r="BK84" s="301"/>
      <c r="BL84" s="251"/>
      <c r="BM84" s="114"/>
      <c r="BN84" s="99"/>
      <c r="BO84" s="399">
        <f>SUM(BO78,BO80:BO82)</f>
        <v>0</v>
      </c>
      <c r="BP84" s="498" t="str">
        <f>IF(ISERROR(BO84/BO65),"",BO84/BO65)</f>
        <v/>
      </c>
      <c r="BQ84" s="400">
        <f>SUM(BQ78,BQ80:BQ82)</f>
        <v>0</v>
      </c>
      <c r="BR84" s="401" t="str">
        <f>IF(ISERROR(BQ84/BQ65),"",BQ84/BQ65)</f>
        <v/>
      </c>
      <c r="BS84" s="390"/>
      <c r="BT84" s="332"/>
      <c r="BU84" s="399">
        <f>SUM(BU78,BU80:BU82)</f>
        <v>0</v>
      </c>
      <c r="BV84" s="498" t="str">
        <f>IF(ISERROR(BU84/BU65),"",BU84/BU65)</f>
        <v/>
      </c>
      <c r="BW84" s="400">
        <f>SUM(BW78,BW80:BW82)</f>
        <v>0</v>
      </c>
      <c r="BX84" s="401" t="str">
        <f>IF(ISERROR(BW84/BW65),"",BW84/BW65)</f>
        <v/>
      </c>
      <c r="BY84" s="390"/>
      <c r="BZ84" s="332"/>
      <c r="CA84" s="399">
        <f>SUM(CA78,CA80:CA82)</f>
        <v>0</v>
      </c>
      <c r="CB84" s="498" t="str">
        <f>IF(ISERROR(CA84/CA65),"",CA84/CA65)</f>
        <v/>
      </c>
      <c r="CC84" s="400">
        <f>SUM(CC78,CC80:CC82)</f>
        <v>0</v>
      </c>
      <c r="CD84" s="401" t="str">
        <f>IF(ISERROR(CC84/CC65),"",CC84/CC65)</f>
        <v/>
      </c>
      <c r="CE84" s="390"/>
      <c r="CF84" s="332"/>
      <c r="CG84" s="335">
        <f t="shared" si="67"/>
        <v>0</v>
      </c>
      <c r="CH84" s="301"/>
      <c r="CI84" s="251">
        <f t="shared" si="68"/>
        <v>0</v>
      </c>
      <c r="CJ84" s="301"/>
      <c r="CK84" s="251"/>
      <c r="CL84" s="114"/>
      <c r="CM84" s="100"/>
      <c r="CN84" s="399">
        <f>SUM(CN78,CN80:CN82)</f>
        <v>0</v>
      </c>
      <c r="CO84" s="498" t="str">
        <f>IF(ISERROR(CN84/CN65),"",CN84/CN65)</f>
        <v/>
      </c>
      <c r="CP84" s="400">
        <f>SUM(CP78,CP80:CP82)</f>
        <v>0</v>
      </c>
      <c r="CQ84" s="401" t="str">
        <f>IF(ISERROR(CP84/CP65),"",CP84/CP65)</f>
        <v/>
      </c>
      <c r="CR84" s="390"/>
      <c r="CS84" s="332"/>
      <c r="CT84" s="399">
        <f>SUM(CT78,CT80:CT82)</f>
        <v>0</v>
      </c>
      <c r="CU84" s="498" t="str">
        <f>IF(ISERROR(CT84/CT65),"",CT84/CT65)</f>
        <v/>
      </c>
      <c r="CV84" s="400">
        <f>SUM(CV78,CV80:CV82)</f>
        <v>0</v>
      </c>
      <c r="CW84" s="401" t="str">
        <f>IF(ISERROR(CV84/CV65),"",CV84/CV65)</f>
        <v/>
      </c>
      <c r="CX84" s="390"/>
      <c r="CY84" s="332"/>
      <c r="CZ84" s="399">
        <f>SUM(CZ78,CZ80:CZ82)</f>
        <v>0</v>
      </c>
      <c r="DA84" s="498" t="str">
        <f>IF(ISERROR(CZ84/CZ65),"",CZ84/CZ65)</f>
        <v/>
      </c>
      <c r="DB84" s="400">
        <f>SUM(DB78,DB80:DB82)</f>
        <v>0</v>
      </c>
      <c r="DC84" s="401" t="str">
        <f>IF(ISERROR(DB84/DB65),"",DB84/DB65)</f>
        <v/>
      </c>
      <c r="DD84" s="390"/>
      <c r="DE84" s="332"/>
      <c r="DF84" s="335">
        <f t="shared" si="73"/>
        <v>0</v>
      </c>
      <c r="DG84" s="301"/>
      <c r="DH84" s="251"/>
      <c r="DI84" s="301"/>
      <c r="DJ84" s="251"/>
      <c r="DK84" s="13"/>
    </row>
    <row r="85" spans="1:115" s="3" customFormat="1" ht="21.75" customHeight="1" outlineLevel="1" thickBot="1" x14ac:dyDescent="0.3">
      <c r="A85" s="80">
        <v>76</v>
      </c>
      <c r="B85" s="618"/>
      <c r="C85" s="761"/>
      <c r="D85" s="661"/>
      <c r="E85" s="643" t="s">
        <v>160</v>
      </c>
      <c r="F85" s="644"/>
      <c r="G85" s="644"/>
      <c r="H85" s="644"/>
      <c r="I85" s="645"/>
      <c r="J85" s="238">
        <f t="shared" si="93"/>
        <v>0</v>
      </c>
      <c r="K85" s="303" t="str">
        <f>IF(ISERROR(J85/J65),"",J85/J65)</f>
        <v/>
      </c>
      <c r="L85" s="239">
        <f t="shared" si="94"/>
        <v>0</v>
      </c>
      <c r="M85" s="303" t="str">
        <f>IF(ISERROR(L85/L65),"",L85/L65)</f>
        <v/>
      </c>
      <c r="N85" s="211">
        <f t="shared" si="49"/>
        <v>0</v>
      </c>
      <c r="O85" s="50" t="e">
        <f t="shared" si="95"/>
        <v>#VALUE!</v>
      </c>
      <c r="P85" s="47"/>
      <c r="Q85" s="383">
        <f>SUM(Q78,Q80:Q82)-Q83</f>
        <v>0</v>
      </c>
      <c r="R85" s="402" t="str">
        <f>IF(ISERROR(Q85/Q65),"",Q85/Q65)</f>
        <v/>
      </c>
      <c r="S85" s="373">
        <f>SUM(S78,S80:S82)-S83</f>
        <v>0</v>
      </c>
      <c r="T85" s="403" t="str">
        <f>IF(ISERROR(S85/S65),"",S85/S65)</f>
        <v/>
      </c>
      <c r="U85" s="373">
        <f t="shared" si="96"/>
        <v>0</v>
      </c>
      <c r="V85" s="113"/>
      <c r="W85" s="383">
        <f>SUM(W78,W80:W82)-W83</f>
        <v>0</v>
      </c>
      <c r="X85" s="402" t="str">
        <f>IF(ISERROR(W85/W65),"",W85/W65)</f>
        <v/>
      </c>
      <c r="Y85" s="373">
        <f>SUM(Y78,Y80:Y82)-Y83</f>
        <v>0</v>
      </c>
      <c r="Z85" s="403" t="str">
        <f>IF(ISERROR(Y85/Y65),"",Y85/Y65)</f>
        <v/>
      </c>
      <c r="AA85" s="373">
        <f t="shared" ref="AA85:AA123" si="113">W85-Y85</f>
        <v>0</v>
      </c>
      <c r="AB85" s="113"/>
      <c r="AC85" s="383">
        <f>SUM(AC78,AC80:AC82)-AC83</f>
        <v>0</v>
      </c>
      <c r="AD85" s="402" t="str">
        <f>IF(ISERROR(AC85/AC65),"",AC85/AC65)</f>
        <v/>
      </c>
      <c r="AE85" s="373">
        <f>SUM(AE78,AE80:AE82)-AE83</f>
        <v>0</v>
      </c>
      <c r="AF85" s="403" t="str">
        <f>IF(ISERROR(AE85/AE65),"",AE85/AE65)</f>
        <v/>
      </c>
      <c r="AG85" s="373">
        <f t="shared" ref="AG85:AG123" si="114">AC85-AE85</f>
        <v>0</v>
      </c>
      <c r="AH85" s="112" t="e">
        <f t="shared" si="99"/>
        <v>#VALUE!</v>
      </c>
      <c r="AI85" s="238">
        <f t="shared" si="55"/>
        <v>0</v>
      </c>
      <c r="AJ85" s="303" t="str">
        <f>IF(ISERROR(AI85/AI65),"",AI85/AI65)</f>
        <v/>
      </c>
      <c r="AK85" s="239">
        <f t="shared" si="56"/>
        <v>0</v>
      </c>
      <c r="AL85" s="303" t="str">
        <f>IF(ISERROR(AK85/AK65),"",AK85/AK65)</f>
        <v/>
      </c>
      <c r="AM85" s="239">
        <f t="shared" si="100"/>
        <v>0</v>
      </c>
      <c r="AN85" s="113"/>
      <c r="AO85" s="99"/>
      <c r="AP85" s="383">
        <f>SUM(AP78,AP80:AP82)-AP83</f>
        <v>0</v>
      </c>
      <c r="AQ85" s="402" t="str">
        <f>IF(ISERROR(AP85/AP65),"",AP85/AP65)</f>
        <v/>
      </c>
      <c r="AR85" s="373">
        <f>SUM(AR78,AR80:AR82)-AR83</f>
        <v>0</v>
      </c>
      <c r="AS85" s="403" t="str">
        <f>IF(ISERROR(AR85/AR65),"",AR85/AR65)</f>
        <v/>
      </c>
      <c r="AT85" s="373">
        <f t="shared" ref="AT85:AT123" si="115">AP85-AR85</f>
        <v>0</v>
      </c>
      <c r="AU85" s="113"/>
      <c r="AV85" s="383">
        <f>SUM(AV78,AV80:AV82)-AV83</f>
        <v>0</v>
      </c>
      <c r="AW85" s="402" t="str">
        <f>IF(ISERROR(AV85/AV65),"",AV85/AV65)</f>
        <v/>
      </c>
      <c r="AX85" s="373">
        <f>SUM(AX78,AX80:AX82)-AX83</f>
        <v>0</v>
      </c>
      <c r="AY85" s="403" t="str">
        <f>IF(ISERROR(AX85/AX65),"",AX85/AX65)</f>
        <v/>
      </c>
      <c r="AZ85" s="373">
        <f t="shared" ref="AZ85:AZ123" si="116">AV85-AX85</f>
        <v>0</v>
      </c>
      <c r="BA85" s="113"/>
      <c r="BB85" s="383">
        <f>SUM(BB78,BB80:BB82)-BB83</f>
        <v>0</v>
      </c>
      <c r="BC85" s="402" t="str">
        <f>IF(ISERROR(BB85/BB65),"",BB85/BB65)</f>
        <v/>
      </c>
      <c r="BD85" s="373">
        <f>SUM(BD78,BD80:BD82)-BD83</f>
        <v>0</v>
      </c>
      <c r="BE85" s="403" t="str">
        <f>IF(ISERROR(BD85/BD65),"",BD85/BD65)</f>
        <v/>
      </c>
      <c r="BF85" s="373">
        <f t="shared" ref="BF85:BF123" si="117">BB85-BD85</f>
        <v>0</v>
      </c>
      <c r="BG85" s="113"/>
      <c r="BH85" s="238">
        <f t="shared" si="61"/>
        <v>0</v>
      </c>
      <c r="BI85" s="303" t="str">
        <f>IF(ISERROR(BH85/BH65),"",BH85/BH65)</f>
        <v/>
      </c>
      <c r="BJ85" s="239">
        <f t="shared" si="62"/>
        <v>0</v>
      </c>
      <c r="BK85" s="303" t="str">
        <f>IF(ISERROR(BJ85/BJ65),"",BJ85/BJ65)</f>
        <v/>
      </c>
      <c r="BL85" s="239">
        <f t="shared" si="104"/>
        <v>0</v>
      </c>
      <c r="BM85" s="113"/>
      <c r="BN85" s="99"/>
      <c r="BO85" s="383">
        <f>SUM(BO78,BO80:BO82)-BO83</f>
        <v>0</v>
      </c>
      <c r="BP85" s="402" t="str">
        <f>IF(ISERROR(BO85/BO65),"",BO85/BO65)</f>
        <v/>
      </c>
      <c r="BQ85" s="373">
        <f>SUM(BQ78,BQ80:BQ82)-BQ83</f>
        <v>0</v>
      </c>
      <c r="BR85" s="403" t="str">
        <f>IF(ISERROR(BQ85/BQ65),"",BQ85/BQ65)</f>
        <v/>
      </c>
      <c r="BS85" s="373">
        <f t="shared" ref="BS85:BS123" si="118">BO85-BQ85</f>
        <v>0</v>
      </c>
      <c r="BT85" s="113"/>
      <c r="BU85" s="383">
        <f>SUM(BU78,BU80:BU82)-BU83</f>
        <v>0</v>
      </c>
      <c r="BV85" s="402" t="str">
        <f>IF(ISERROR(BU85/BU65),"",BU85/BU65)</f>
        <v/>
      </c>
      <c r="BW85" s="373">
        <f>SUM(BW78,BW80:BW82)-BW83</f>
        <v>0</v>
      </c>
      <c r="BX85" s="403" t="str">
        <f>IF(ISERROR(BW85/BW65),"",BW85/BW65)</f>
        <v/>
      </c>
      <c r="BY85" s="373">
        <f t="shared" ref="BY85:BY123" si="119">BU85-BW85</f>
        <v>0</v>
      </c>
      <c r="BZ85" s="113"/>
      <c r="CA85" s="383">
        <f>SUM(CA78,CA80:CA82)-CA83</f>
        <v>0</v>
      </c>
      <c r="CB85" s="402" t="str">
        <f>IF(ISERROR(CA85/CA65),"",CA85/CA65)</f>
        <v/>
      </c>
      <c r="CC85" s="373">
        <f>SUM(CC78,CC80:CC82)-CC83</f>
        <v>0</v>
      </c>
      <c r="CD85" s="403" t="str">
        <f>IF(ISERROR(CC85/CC65),"",CC85/CC65)</f>
        <v/>
      </c>
      <c r="CE85" s="373">
        <f t="shared" ref="CE85:CE123" si="120">CA85-CC85</f>
        <v>0</v>
      </c>
      <c r="CF85" s="113"/>
      <c r="CG85" s="238">
        <f t="shared" si="67"/>
        <v>0</v>
      </c>
      <c r="CH85" s="303" t="str">
        <f>IF(ISERROR(CG85/CG65),"",CG85/CG65)</f>
        <v/>
      </c>
      <c r="CI85" s="239">
        <f t="shared" si="68"/>
        <v>0</v>
      </c>
      <c r="CJ85" s="303" t="str">
        <f>IF(ISERROR(CI85/CI65),"",CI85/CI65)</f>
        <v/>
      </c>
      <c r="CK85" s="239">
        <f t="shared" si="108"/>
        <v>0</v>
      </c>
      <c r="CL85" s="113"/>
      <c r="CM85" s="100"/>
      <c r="CN85" s="383">
        <f>SUM(CN78,CN80:CN82)-CN83</f>
        <v>0</v>
      </c>
      <c r="CO85" s="402" t="str">
        <f>IF(ISERROR(CN85/CN65),"",CN85/CN65)</f>
        <v/>
      </c>
      <c r="CP85" s="373">
        <f>SUM(CP78,CP80:CP82)-CP83</f>
        <v>0</v>
      </c>
      <c r="CQ85" s="403" t="str">
        <f>IF(ISERROR(CP85/CP65),"",CP85/CP65)</f>
        <v/>
      </c>
      <c r="CR85" s="373">
        <f t="shared" ref="CR85:CR123" si="121">CN85-CP85</f>
        <v>0</v>
      </c>
      <c r="CS85" s="113"/>
      <c r="CT85" s="383">
        <f>SUM(CT78,CT80:CT82)-CT83</f>
        <v>0</v>
      </c>
      <c r="CU85" s="402" t="str">
        <f>IF(ISERROR(CT85/CT65),"",CT85/CT65)</f>
        <v/>
      </c>
      <c r="CV85" s="373">
        <f>SUM(CV78,CV80:CV82)-CV83</f>
        <v>0</v>
      </c>
      <c r="CW85" s="403" t="str">
        <f>IF(ISERROR(CV85/CV65),"",CV85/CV65)</f>
        <v/>
      </c>
      <c r="CX85" s="373">
        <f t="shared" ref="CX85:CX123" si="122">CT85-CV85</f>
        <v>0</v>
      </c>
      <c r="CY85" s="113"/>
      <c r="CZ85" s="383">
        <f>SUM(CZ78,CZ80:CZ82)-CZ83</f>
        <v>0</v>
      </c>
      <c r="DA85" s="402" t="str">
        <f>IF(ISERROR(CZ85/CZ65),"",CZ85/CZ65)</f>
        <v/>
      </c>
      <c r="DB85" s="373">
        <f>SUM(DB78,DB80:DB82)-DB83</f>
        <v>0</v>
      </c>
      <c r="DC85" s="403" t="str">
        <f>IF(ISERROR(DB85/DB65),"",DB85/DB65)</f>
        <v/>
      </c>
      <c r="DD85" s="373">
        <f t="shared" ref="DD85:DD123" si="123">CZ85-DB85</f>
        <v>0</v>
      </c>
      <c r="DE85" s="113"/>
      <c r="DF85" s="238">
        <f t="shared" si="73"/>
        <v>0</v>
      </c>
      <c r="DG85" s="303" t="str">
        <f>IF(ISERROR(DF85/DF65),"",DF85/DF65)</f>
        <v/>
      </c>
      <c r="DH85" s="239">
        <f t="shared" si="74"/>
        <v>0</v>
      </c>
      <c r="DI85" s="303" t="str">
        <f>IF(ISERROR(DH85/DH65),"",DH85/DH65)</f>
        <v/>
      </c>
      <c r="DJ85" s="239">
        <f t="shared" si="112"/>
        <v>0</v>
      </c>
      <c r="DK85" s="12"/>
    </row>
    <row r="86" spans="1:115" s="3" customFormat="1" ht="21.75" customHeight="1" outlineLevel="1" thickTop="1" x14ac:dyDescent="0.25">
      <c r="A86" s="80">
        <v>77</v>
      </c>
      <c r="B86" s="618"/>
      <c r="C86" s="761"/>
      <c r="D86" s="661"/>
      <c r="E86" s="646" t="s">
        <v>50</v>
      </c>
      <c r="F86" s="649" t="s">
        <v>51</v>
      </c>
      <c r="G86" s="607"/>
      <c r="H86" s="607"/>
      <c r="I86" s="608"/>
      <c r="J86" s="228">
        <f t="shared" si="93"/>
        <v>0</v>
      </c>
      <c r="K86" s="304" t="str">
        <f>IF(ISERROR(J86/J65),"",J86/J65)</f>
        <v/>
      </c>
      <c r="L86" s="229">
        <f t="shared" si="94"/>
        <v>0</v>
      </c>
      <c r="M86" s="304" t="str">
        <f>IF(ISERROR(L86/L65),"",L86/L65)</f>
        <v/>
      </c>
      <c r="N86" s="206">
        <f t="shared" si="49"/>
        <v>0</v>
      </c>
      <c r="O86" s="43" t="e">
        <f t="shared" si="95"/>
        <v>#VALUE!</v>
      </c>
      <c r="P86" s="47"/>
      <c r="Q86" s="493"/>
      <c r="R86" s="490" t="str">
        <f>IF(ISERROR(Q86/Q65),"",Q86/Q65)</f>
        <v/>
      </c>
      <c r="S86" s="375"/>
      <c r="T86" s="404" t="str">
        <f>IF(ISERROR(S86/S65),"",S86/S65)</f>
        <v/>
      </c>
      <c r="U86" s="355">
        <f t="shared" si="96"/>
        <v>0</v>
      </c>
      <c r="V86" s="96"/>
      <c r="W86" s="493"/>
      <c r="X86" s="490" t="str">
        <f>IF(ISERROR(W86/W65),"",W86/W65)</f>
        <v/>
      </c>
      <c r="Y86" s="375"/>
      <c r="Z86" s="404" t="str">
        <f>IF(ISERROR(Y86/Y65),"",Y86/Y65)</f>
        <v/>
      </c>
      <c r="AA86" s="355">
        <f t="shared" si="113"/>
        <v>0</v>
      </c>
      <c r="AB86" s="96"/>
      <c r="AC86" s="493"/>
      <c r="AD86" s="490" t="str">
        <f>IF(ISERROR(AC86/AC65),"",AC86/AC65)</f>
        <v/>
      </c>
      <c r="AE86" s="375"/>
      <c r="AF86" s="404" t="str">
        <f>IF(ISERROR(AE86/AE65),"",AE86/AE65)</f>
        <v/>
      </c>
      <c r="AG86" s="355">
        <f t="shared" si="114"/>
        <v>0</v>
      </c>
      <c r="AH86" s="97" t="e">
        <f t="shared" si="99"/>
        <v>#VALUE!</v>
      </c>
      <c r="AI86" s="285">
        <f t="shared" si="55"/>
        <v>0</v>
      </c>
      <c r="AJ86" s="304" t="str">
        <f>IF(ISERROR(AI86/AI65),"",AI86/AI65)</f>
        <v/>
      </c>
      <c r="AK86" s="229">
        <f t="shared" si="56"/>
        <v>0</v>
      </c>
      <c r="AL86" s="304" t="str">
        <f>IF(ISERROR(AK86/AK65),"",AK86/AK65)</f>
        <v/>
      </c>
      <c r="AM86" s="229">
        <f t="shared" si="100"/>
        <v>0</v>
      </c>
      <c r="AN86" s="96"/>
      <c r="AO86" s="99"/>
      <c r="AP86" s="493"/>
      <c r="AQ86" s="490" t="str">
        <f>IF(ISERROR(AP86/AP65),"",AP86/AP65)</f>
        <v/>
      </c>
      <c r="AR86" s="375"/>
      <c r="AS86" s="404" t="str">
        <f>IF(ISERROR(AR86/AR65),"",AR86/AR65)</f>
        <v/>
      </c>
      <c r="AT86" s="355">
        <f t="shared" si="115"/>
        <v>0</v>
      </c>
      <c r="AU86" s="96"/>
      <c r="AV86" s="493"/>
      <c r="AW86" s="490" t="str">
        <f>IF(ISERROR(AV86/AV65),"",AV86/AV65)</f>
        <v/>
      </c>
      <c r="AX86" s="375"/>
      <c r="AY86" s="404" t="str">
        <f>IF(ISERROR(AX86/AX65),"",AX86/AX65)</f>
        <v/>
      </c>
      <c r="AZ86" s="355">
        <f t="shared" si="116"/>
        <v>0</v>
      </c>
      <c r="BA86" s="96"/>
      <c r="BB86" s="493"/>
      <c r="BC86" s="490" t="str">
        <f>IF(ISERROR(BB86/BB65),"",BB86/BB65)</f>
        <v/>
      </c>
      <c r="BD86" s="375"/>
      <c r="BE86" s="404" t="str">
        <f>IF(ISERROR(BD86/BD65),"",BD86/BD65)</f>
        <v/>
      </c>
      <c r="BF86" s="355">
        <f t="shared" si="117"/>
        <v>0</v>
      </c>
      <c r="BG86" s="96"/>
      <c r="BH86" s="285">
        <f t="shared" si="61"/>
        <v>0</v>
      </c>
      <c r="BI86" s="304" t="str">
        <f>IF(ISERROR(BH86/BH65),"",BH86/BH65)</f>
        <v/>
      </c>
      <c r="BJ86" s="229">
        <f t="shared" si="62"/>
        <v>0</v>
      </c>
      <c r="BK86" s="304" t="str">
        <f>IF(ISERROR(BJ86/BJ65),"",BJ86/BJ65)</f>
        <v/>
      </c>
      <c r="BL86" s="229">
        <f t="shared" si="104"/>
        <v>0</v>
      </c>
      <c r="BM86" s="96"/>
      <c r="BN86" s="99"/>
      <c r="BO86" s="493"/>
      <c r="BP86" s="490" t="str">
        <f>IF(ISERROR(BO86/BO65),"",BO86/BO65)</f>
        <v/>
      </c>
      <c r="BQ86" s="375"/>
      <c r="BR86" s="404" t="str">
        <f>IF(ISERROR(BQ86/BQ65),"",BQ86/BQ65)</f>
        <v/>
      </c>
      <c r="BS86" s="355">
        <f t="shared" si="118"/>
        <v>0</v>
      </c>
      <c r="BT86" s="96"/>
      <c r="BU86" s="493"/>
      <c r="BV86" s="490" t="str">
        <f>IF(ISERROR(BU86/BU65),"",BU86/BU65)</f>
        <v/>
      </c>
      <c r="BW86" s="375"/>
      <c r="BX86" s="404" t="str">
        <f>IF(ISERROR(BW86/BW65),"",BW86/BW65)</f>
        <v/>
      </c>
      <c r="BY86" s="355">
        <f t="shared" si="119"/>
        <v>0</v>
      </c>
      <c r="BZ86" s="96"/>
      <c r="CA86" s="493"/>
      <c r="CB86" s="490" t="str">
        <f>IF(ISERROR(CA86/CA65),"",CA86/CA65)</f>
        <v/>
      </c>
      <c r="CC86" s="375"/>
      <c r="CD86" s="404" t="str">
        <f>IF(ISERROR(CC86/CC65),"",CC86/CC65)</f>
        <v/>
      </c>
      <c r="CE86" s="355">
        <f t="shared" si="120"/>
        <v>0</v>
      </c>
      <c r="CF86" s="96"/>
      <c r="CG86" s="285">
        <f t="shared" si="67"/>
        <v>0</v>
      </c>
      <c r="CH86" s="304" t="str">
        <f>IF(ISERROR(CG86/CG65),"",CG86/CG65)</f>
        <v/>
      </c>
      <c r="CI86" s="229">
        <f t="shared" si="68"/>
        <v>0</v>
      </c>
      <c r="CJ86" s="304" t="str">
        <f>IF(ISERROR(CI86/CI65),"",CI86/CI65)</f>
        <v/>
      </c>
      <c r="CK86" s="229">
        <f t="shared" si="108"/>
        <v>0</v>
      </c>
      <c r="CL86" s="96"/>
      <c r="CM86" s="100"/>
      <c r="CN86" s="493"/>
      <c r="CO86" s="490" t="str">
        <f>IF(ISERROR(CN86/CN65),"",CN86/CN65)</f>
        <v/>
      </c>
      <c r="CP86" s="375"/>
      <c r="CQ86" s="404" t="str">
        <f>IF(ISERROR(CP86/CP65),"",CP86/CP65)</f>
        <v/>
      </c>
      <c r="CR86" s="355">
        <f t="shared" si="121"/>
        <v>0</v>
      </c>
      <c r="CS86" s="96"/>
      <c r="CT86" s="493"/>
      <c r="CU86" s="490" t="str">
        <f>IF(ISERROR(CT86/CT65),"",CT86/CT65)</f>
        <v/>
      </c>
      <c r="CV86" s="375"/>
      <c r="CW86" s="404" t="str">
        <f>IF(ISERROR(CV86/CV65),"",CV86/CV65)</f>
        <v/>
      </c>
      <c r="CX86" s="355">
        <f t="shared" si="122"/>
        <v>0</v>
      </c>
      <c r="CY86" s="96"/>
      <c r="CZ86" s="493"/>
      <c r="DA86" s="490" t="str">
        <f>IF(ISERROR(CZ86/CZ65),"",CZ86/CZ65)</f>
        <v/>
      </c>
      <c r="DB86" s="375"/>
      <c r="DC86" s="404" t="str">
        <f>IF(ISERROR(DB86/DB65),"",DB86/DB65)</f>
        <v/>
      </c>
      <c r="DD86" s="355">
        <f t="shared" si="123"/>
        <v>0</v>
      </c>
      <c r="DE86" s="96"/>
      <c r="DF86" s="285">
        <f t="shared" si="73"/>
        <v>0</v>
      </c>
      <c r="DG86" s="304" t="str">
        <f>IF(ISERROR(DF86/DF65),"",DF86/DF65)</f>
        <v/>
      </c>
      <c r="DH86" s="229">
        <f t="shared" si="74"/>
        <v>0</v>
      </c>
      <c r="DI86" s="304" t="str">
        <f>IF(ISERROR(DH86/DH65),"",DH86/DH65)</f>
        <v/>
      </c>
      <c r="DJ86" s="229">
        <f t="shared" si="112"/>
        <v>0</v>
      </c>
      <c r="DK86" s="7"/>
    </row>
    <row r="87" spans="1:115" s="3" customFormat="1" ht="21.75" customHeight="1" outlineLevel="1" x14ac:dyDescent="0.25">
      <c r="A87" s="80">
        <v>78</v>
      </c>
      <c r="B87" s="618"/>
      <c r="C87" s="761"/>
      <c r="D87" s="661"/>
      <c r="E87" s="647"/>
      <c r="F87" s="650" t="s">
        <v>52</v>
      </c>
      <c r="G87" s="610"/>
      <c r="H87" s="610"/>
      <c r="I87" s="611"/>
      <c r="J87" s="230">
        <f t="shared" si="93"/>
        <v>0</v>
      </c>
      <c r="K87" s="305" t="str">
        <f>IF(ISERROR(J87/J65),"",J87/J65)</f>
        <v/>
      </c>
      <c r="L87" s="231">
        <f t="shared" si="94"/>
        <v>0</v>
      </c>
      <c r="M87" s="305" t="str">
        <f>IF(ISERROR(L87/L65),"",L87/L65)</f>
        <v/>
      </c>
      <c r="N87" s="207">
        <f t="shared" si="49"/>
        <v>0</v>
      </c>
      <c r="O87" s="45" t="e">
        <f t="shared" si="95"/>
        <v>#VALUE!</v>
      </c>
      <c r="P87" s="47"/>
      <c r="Q87" s="494"/>
      <c r="R87" s="491" t="str">
        <f>IF(ISERROR(Q87/Q65),"",Q87/Q65)</f>
        <v/>
      </c>
      <c r="S87" s="371"/>
      <c r="T87" s="405" t="str">
        <f>IF(ISERROR(S87/S65),"",S87/S65)</f>
        <v/>
      </c>
      <c r="U87" s="358">
        <f t="shared" si="96"/>
        <v>0</v>
      </c>
      <c r="V87" s="102"/>
      <c r="W87" s="494"/>
      <c r="X87" s="491" t="str">
        <f>IF(ISERROR(W87/W65),"",W87/W65)</f>
        <v/>
      </c>
      <c r="Y87" s="371"/>
      <c r="Z87" s="405" t="str">
        <f>IF(ISERROR(Y87/Y65),"",Y87/Y65)</f>
        <v/>
      </c>
      <c r="AA87" s="358">
        <f t="shared" si="113"/>
        <v>0</v>
      </c>
      <c r="AB87" s="102"/>
      <c r="AC87" s="494"/>
      <c r="AD87" s="491" t="str">
        <f>IF(ISERROR(AC87/AC65),"",AC87/AC65)</f>
        <v/>
      </c>
      <c r="AE87" s="371"/>
      <c r="AF87" s="405" t="str">
        <f>IF(ISERROR(AE87/AE65),"",AE87/AE65)</f>
        <v/>
      </c>
      <c r="AG87" s="358">
        <f t="shared" si="114"/>
        <v>0</v>
      </c>
      <c r="AH87" s="103" t="e">
        <f t="shared" si="99"/>
        <v>#VALUE!</v>
      </c>
      <c r="AI87" s="286">
        <f t="shared" si="55"/>
        <v>0</v>
      </c>
      <c r="AJ87" s="305" t="str">
        <f>IF(ISERROR(AI87/AI65),"",AI87/AI65)</f>
        <v/>
      </c>
      <c r="AK87" s="231">
        <f t="shared" si="56"/>
        <v>0</v>
      </c>
      <c r="AL87" s="305" t="str">
        <f>IF(ISERROR(AK87/AK65),"",AK87/AK65)</f>
        <v/>
      </c>
      <c r="AM87" s="231">
        <f t="shared" si="100"/>
        <v>0</v>
      </c>
      <c r="AN87" s="102"/>
      <c r="AO87" s="99"/>
      <c r="AP87" s="494"/>
      <c r="AQ87" s="491" t="str">
        <f>IF(ISERROR(AP87/AP65),"",AP87/AP65)</f>
        <v/>
      </c>
      <c r="AR87" s="371"/>
      <c r="AS87" s="405" t="str">
        <f>IF(ISERROR(AR87/AR65),"",AR87/AR65)</f>
        <v/>
      </c>
      <c r="AT87" s="358">
        <f t="shared" si="115"/>
        <v>0</v>
      </c>
      <c r="AU87" s="102"/>
      <c r="AV87" s="494"/>
      <c r="AW87" s="491" t="str">
        <f>IF(ISERROR(AV87/AV65),"",AV87/AV65)</f>
        <v/>
      </c>
      <c r="AX87" s="371"/>
      <c r="AY87" s="405" t="str">
        <f>IF(ISERROR(AX87/AX65),"",AX87/AX65)</f>
        <v/>
      </c>
      <c r="AZ87" s="358">
        <f t="shared" si="116"/>
        <v>0</v>
      </c>
      <c r="BA87" s="102"/>
      <c r="BB87" s="494"/>
      <c r="BC87" s="491" t="str">
        <f>IF(ISERROR(BB87/BB65),"",BB87/BB65)</f>
        <v/>
      </c>
      <c r="BD87" s="371"/>
      <c r="BE87" s="405" t="str">
        <f>IF(ISERROR(BD87/BD65),"",BD87/BD65)</f>
        <v/>
      </c>
      <c r="BF87" s="358">
        <f t="shared" si="117"/>
        <v>0</v>
      </c>
      <c r="BG87" s="102"/>
      <c r="BH87" s="286">
        <f t="shared" si="61"/>
        <v>0</v>
      </c>
      <c r="BI87" s="305" t="str">
        <f>IF(ISERROR(BH87/BH65),"",BH87/BH65)</f>
        <v/>
      </c>
      <c r="BJ87" s="231">
        <f t="shared" si="62"/>
        <v>0</v>
      </c>
      <c r="BK87" s="305" t="str">
        <f>IF(ISERROR(BJ87/BJ65),"",BJ87/BJ65)</f>
        <v/>
      </c>
      <c r="BL87" s="231">
        <f t="shared" si="104"/>
        <v>0</v>
      </c>
      <c r="BM87" s="102"/>
      <c r="BN87" s="99"/>
      <c r="BO87" s="494"/>
      <c r="BP87" s="491" t="str">
        <f>IF(ISERROR(BO87/BO65),"",BO87/BO65)</f>
        <v/>
      </c>
      <c r="BQ87" s="371"/>
      <c r="BR87" s="405" t="str">
        <f>IF(ISERROR(BQ87/BQ65),"",BQ87/BQ65)</f>
        <v/>
      </c>
      <c r="BS87" s="358">
        <f t="shared" si="118"/>
        <v>0</v>
      </c>
      <c r="BT87" s="102"/>
      <c r="BU87" s="494"/>
      <c r="BV87" s="491" t="str">
        <f>IF(ISERROR(BU87/BU65),"",BU87/BU65)</f>
        <v/>
      </c>
      <c r="BW87" s="371"/>
      <c r="BX87" s="405" t="str">
        <f>IF(ISERROR(BW87/BW65),"",BW87/BW65)</f>
        <v/>
      </c>
      <c r="BY87" s="358">
        <f t="shared" si="119"/>
        <v>0</v>
      </c>
      <c r="BZ87" s="102"/>
      <c r="CA87" s="494"/>
      <c r="CB87" s="491" t="str">
        <f>IF(ISERROR(CA87/CA65),"",CA87/CA65)</f>
        <v/>
      </c>
      <c r="CC87" s="371"/>
      <c r="CD87" s="405" t="str">
        <f>IF(ISERROR(CC87/CC65),"",CC87/CC65)</f>
        <v/>
      </c>
      <c r="CE87" s="358">
        <f t="shared" si="120"/>
        <v>0</v>
      </c>
      <c r="CF87" s="102"/>
      <c r="CG87" s="286">
        <f t="shared" si="67"/>
        <v>0</v>
      </c>
      <c r="CH87" s="305" t="str">
        <f>IF(ISERROR(CG87/CG65),"",CG87/CG65)</f>
        <v/>
      </c>
      <c r="CI87" s="231">
        <f t="shared" si="68"/>
        <v>0</v>
      </c>
      <c r="CJ87" s="305" t="str">
        <f>IF(ISERROR(CI87/CI65),"",CI87/CI65)</f>
        <v/>
      </c>
      <c r="CK87" s="231">
        <f t="shared" si="108"/>
        <v>0</v>
      </c>
      <c r="CL87" s="102"/>
      <c r="CM87" s="100"/>
      <c r="CN87" s="494"/>
      <c r="CO87" s="491" t="str">
        <f>IF(ISERROR(CN87/CN65),"",CN87/CN65)</f>
        <v/>
      </c>
      <c r="CP87" s="371"/>
      <c r="CQ87" s="405" t="str">
        <f>IF(ISERROR(CP87/CP65),"",CP87/CP65)</f>
        <v/>
      </c>
      <c r="CR87" s="358">
        <f t="shared" si="121"/>
        <v>0</v>
      </c>
      <c r="CS87" s="102"/>
      <c r="CT87" s="494"/>
      <c r="CU87" s="491" t="str">
        <f>IF(ISERROR(CT87/CT65),"",CT87/CT65)</f>
        <v/>
      </c>
      <c r="CV87" s="371"/>
      <c r="CW87" s="405" t="str">
        <f>IF(ISERROR(CV87/CV65),"",CV87/CV65)</f>
        <v/>
      </c>
      <c r="CX87" s="358">
        <f t="shared" si="122"/>
        <v>0</v>
      </c>
      <c r="CY87" s="102"/>
      <c r="CZ87" s="494"/>
      <c r="DA87" s="491" t="str">
        <f>IF(ISERROR(CZ87/CZ65),"",CZ87/CZ65)</f>
        <v/>
      </c>
      <c r="DB87" s="371"/>
      <c r="DC87" s="405" t="str">
        <f>IF(ISERROR(DB87/DB65),"",DB87/DB65)</f>
        <v/>
      </c>
      <c r="DD87" s="358">
        <f t="shared" si="123"/>
        <v>0</v>
      </c>
      <c r="DE87" s="102"/>
      <c r="DF87" s="286">
        <f t="shared" si="73"/>
        <v>0</v>
      </c>
      <c r="DG87" s="305" t="str">
        <f>IF(ISERROR(DF87/DF65),"",DF87/DF65)</f>
        <v/>
      </c>
      <c r="DH87" s="231">
        <f t="shared" si="74"/>
        <v>0</v>
      </c>
      <c r="DI87" s="305" t="str">
        <f>IF(ISERROR(DH87/DH65),"",DH87/DH65)</f>
        <v/>
      </c>
      <c r="DJ87" s="231">
        <f t="shared" si="112"/>
        <v>0</v>
      </c>
      <c r="DK87" s="8"/>
    </row>
    <row r="88" spans="1:115" s="3" customFormat="1" ht="21.75" customHeight="1" outlineLevel="1" x14ac:dyDescent="0.25">
      <c r="A88" s="80">
        <v>79</v>
      </c>
      <c r="B88" s="618"/>
      <c r="C88" s="761"/>
      <c r="D88" s="661"/>
      <c r="E88" s="647"/>
      <c r="F88" s="650" t="s">
        <v>53</v>
      </c>
      <c r="G88" s="610"/>
      <c r="H88" s="610"/>
      <c r="I88" s="611"/>
      <c r="J88" s="230">
        <f t="shared" si="93"/>
        <v>0</v>
      </c>
      <c r="K88" s="305" t="str">
        <f>IF(ISERROR(J88/J65),"",J88/J65)</f>
        <v/>
      </c>
      <c r="L88" s="231">
        <f t="shared" si="94"/>
        <v>0</v>
      </c>
      <c r="M88" s="305" t="str">
        <f>IF(ISERROR(L88/L65),"",L88/L65)</f>
        <v/>
      </c>
      <c r="N88" s="207">
        <f t="shared" si="49"/>
        <v>0</v>
      </c>
      <c r="O88" s="45" t="e">
        <f t="shared" si="95"/>
        <v>#VALUE!</v>
      </c>
      <c r="P88" s="47"/>
      <c r="Q88" s="494"/>
      <c r="R88" s="491" t="str">
        <f>IF(ISERROR(Q88/Q65),"",Q88/Q65)</f>
        <v/>
      </c>
      <c r="S88" s="371"/>
      <c r="T88" s="405" t="str">
        <f>IF(ISERROR(S88/S65),"",S88/S65)</f>
        <v/>
      </c>
      <c r="U88" s="358">
        <f t="shared" si="96"/>
        <v>0</v>
      </c>
      <c r="V88" s="102"/>
      <c r="W88" s="494"/>
      <c r="X88" s="491" t="str">
        <f>IF(ISERROR(W88/W65),"",W88/W65)</f>
        <v/>
      </c>
      <c r="Y88" s="371"/>
      <c r="Z88" s="405" t="str">
        <f>IF(ISERROR(Y88/Y65),"",Y88/Y65)</f>
        <v/>
      </c>
      <c r="AA88" s="358">
        <f t="shared" si="113"/>
        <v>0</v>
      </c>
      <c r="AB88" s="102"/>
      <c r="AC88" s="494"/>
      <c r="AD88" s="491" t="str">
        <f>IF(ISERROR(AC88/AC65),"",AC88/AC65)</f>
        <v/>
      </c>
      <c r="AE88" s="371"/>
      <c r="AF88" s="405" t="str">
        <f>IF(ISERROR(AE88/AE65),"",AE88/AE65)</f>
        <v/>
      </c>
      <c r="AG88" s="358">
        <f t="shared" si="114"/>
        <v>0</v>
      </c>
      <c r="AH88" s="103" t="e">
        <f t="shared" si="99"/>
        <v>#VALUE!</v>
      </c>
      <c r="AI88" s="286">
        <f t="shared" si="55"/>
        <v>0</v>
      </c>
      <c r="AJ88" s="305" t="str">
        <f>IF(ISERROR(AI88/AI65),"",AI88/AI65)</f>
        <v/>
      </c>
      <c r="AK88" s="231">
        <f t="shared" si="56"/>
        <v>0</v>
      </c>
      <c r="AL88" s="305" t="str">
        <f>IF(ISERROR(AK88/AK65),"",AK88/AK65)</f>
        <v/>
      </c>
      <c r="AM88" s="231">
        <f t="shared" si="100"/>
        <v>0</v>
      </c>
      <c r="AN88" s="102"/>
      <c r="AO88" s="99"/>
      <c r="AP88" s="494"/>
      <c r="AQ88" s="491" t="str">
        <f>IF(ISERROR(AP88/AP65),"",AP88/AP65)</f>
        <v/>
      </c>
      <c r="AR88" s="371"/>
      <c r="AS88" s="405" t="str">
        <f>IF(ISERROR(AR88/AR65),"",AR88/AR65)</f>
        <v/>
      </c>
      <c r="AT88" s="358">
        <f t="shared" si="115"/>
        <v>0</v>
      </c>
      <c r="AU88" s="102"/>
      <c r="AV88" s="494"/>
      <c r="AW88" s="491" t="str">
        <f>IF(ISERROR(AV88/AV65),"",AV88/AV65)</f>
        <v/>
      </c>
      <c r="AX88" s="371"/>
      <c r="AY88" s="405" t="str">
        <f>IF(ISERROR(AX88/AX65),"",AX88/AX65)</f>
        <v/>
      </c>
      <c r="AZ88" s="358">
        <f t="shared" si="116"/>
        <v>0</v>
      </c>
      <c r="BA88" s="102"/>
      <c r="BB88" s="494"/>
      <c r="BC88" s="491" t="str">
        <f>IF(ISERROR(BB88/BB65),"",BB88/BB65)</f>
        <v/>
      </c>
      <c r="BD88" s="371"/>
      <c r="BE88" s="405" t="str">
        <f>IF(ISERROR(BD88/BD65),"",BD88/BD65)</f>
        <v/>
      </c>
      <c r="BF88" s="358">
        <f t="shared" si="117"/>
        <v>0</v>
      </c>
      <c r="BG88" s="102"/>
      <c r="BH88" s="286">
        <f t="shared" si="61"/>
        <v>0</v>
      </c>
      <c r="BI88" s="305" t="str">
        <f>IF(ISERROR(BH88/BH65),"",BH88/BH65)</f>
        <v/>
      </c>
      <c r="BJ88" s="231">
        <f t="shared" si="62"/>
        <v>0</v>
      </c>
      <c r="BK88" s="305" t="str">
        <f>IF(ISERROR(BJ88/BJ65),"",BJ88/BJ65)</f>
        <v/>
      </c>
      <c r="BL88" s="231">
        <f t="shared" si="104"/>
        <v>0</v>
      </c>
      <c r="BM88" s="102"/>
      <c r="BN88" s="99"/>
      <c r="BO88" s="494"/>
      <c r="BP88" s="491" t="str">
        <f>IF(ISERROR(BO88/BO65),"",BO88/BO65)</f>
        <v/>
      </c>
      <c r="BQ88" s="371"/>
      <c r="BR88" s="405" t="str">
        <f>IF(ISERROR(BQ88/BQ65),"",BQ88/BQ65)</f>
        <v/>
      </c>
      <c r="BS88" s="358">
        <f t="shared" si="118"/>
        <v>0</v>
      </c>
      <c r="BT88" s="102"/>
      <c r="BU88" s="494"/>
      <c r="BV88" s="491" t="str">
        <f>IF(ISERROR(BU88/BU65),"",BU88/BU65)</f>
        <v/>
      </c>
      <c r="BW88" s="371"/>
      <c r="BX88" s="405" t="str">
        <f>IF(ISERROR(BW88/BW65),"",BW88/BW65)</f>
        <v/>
      </c>
      <c r="BY88" s="358">
        <f t="shared" si="119"/>
        <v>0</v>
      </c>
      <c r="BZ88" s="102"/>
      <c r="CA88" s="494"/>
      <c r="CB88" s="491" t="str">
        <f>IF(ISERROR(CA88/CA65),"",CA88/CA65)</f>
        <v/>
      </c>
      <c r="CC88" s="371"/>
      <c r="CD88" s="405" t="str">
        <f>IF(ISERROR(CC88/CC65),"",CC88/CC65)</f>
        <v/>
      </c>
      <c r="CE88" s="358">
        <f t="shared" si="120"/>
        <v>0</v>
      </c>
      <c r="CF88" s="102"/>
      <c r="CG88" s="286">
        <f t="shared" si="67"/>
        <v>0</v>
      </c>
      <c r="CH88" s="305" t="str">
        <f>IF(ISERROR(CG88/CG65),"",CG88/CG65)</f>
        <v/>
      </c>
      <c r="CI88" s="231">
        <f t="shared" si="68"/>
        <v>0</v>
      </c>
      <c r="CJ88" s="305" t="str">
        <f>IF(ISERROR(CI88/CI65),"",CI88/CI65)</f>
        <v/>
      </c>
      <c r="CK88" s="231">
        <f t="shared" si="108"/>
        <v>0</v>
      </c>
      <c r="CL88" s="102"/>
      <c r="CM88" s="100"/>
      <c r="CN88" s="494"/>
      <c r="CO88" s="491" t="str">
        <f>IF(ISERROR(CN88/CN65),"",CN88/CN65)</f>
        <v/>
      </c>
      <c r="CP88" s="371"/>
      <c r="CQ88" s="405" t="str">
        <f>IF(ISERROR(CP88/CP65),"",CP88/CP65)</f>
        <v/>
      </c>
      <c r="CR88" s="358">
        <f t="shared" si="121"/>
        <v>0</v>
      </c>
      <c r="CS88" s="102"/>
      <c r="CT88" s="494"/>
      <c r="CU88" s="491" t="str">
        <f>IF(ISERROR(CT88/CT65),"",CT88/CT65)</f>
        <v/>
      </c>
      <c r="CV88" s="371"/>
      <c r="CW88" s="405" t="str">
        <f>IF(ISERROR(CV88/CV65),"",CV88/CV65)</f>
        <v/>
      </c>
      <c r="CX88" s="358">
        <f t="shared" si="122"/>
        <v>0</v>
      </c>
      <c r="CY88" s="102"/>
      <c r="CZ88" s="494"/>
      <c r="DA88" s="491" t="str">
        <f>IF(ISERROR(CZ88/CZ65),"",CZ88/CZ65)</f>
        <v/>
      </c>
      <c r="DB88" s="371"/>
      <c r="DC88" s="405" t="str">
        <f>IF(ISERROR(DB88/DB65),"",DB88/DB65)</f>
        <v/>
      </c>
      <c r="DD88" s="358">
        <f t="shared" si="123"/>
        <v>0</v>
      </c>
      <c r="DE88" s="102"/>
      <c r="DF88" s="286">
        <f t="shared" si="73"/>
        <v>0</v>
      </c>
      <c r="DG88" s="305" t="str">
        <f>IF(ISERROR(DF88/DF65),"",DF88/DF65)</f>
        <v/>
      </c>
      <c r="DH88" s="231">
        <f t="shared" si="74"/>
        <v>0</v>
      </c>
      <c r="DI88" s="305" t="str">
        <f>IF(ISERROR(DH88/DH65),"",DH88/DH65)</f>
        <v/>
      </c>
      <c r="DJ88" s="231">
        <f t="shared" si="112"/>
        <v>0</v>
      </c>
      <c r="DK88" s="8"/>
    </row>
    <row r="89" spans="1:115" s="3" customFormat="1" ht="21.75" customHeight="1" outlineLevel="1" thickBot="1" x14ac:dyDescent="0.3">
      <c r="A89" s="80">
        <v>80</v>
      </c>
      <c r="B89" s="618"/>
      <c r="C89" s="761"/>
      <c r="D89" s="661"/>
      <c r="E89" s="647"/>
      <c r="F89" s="650" t="s">
        <v>54</v>
      </c>
      <c r="G89" s="610"/>
      <c r="H89" s="610"/>
      <c r="I89" s="611"/>
      <c r="J89" s="230">
        <f t="shared" si="93"/>
        <v>0</v>
      </c>
      <c r="K89" s="305" t="str">
        <f>IF(ISERROR(J89/J65),"",J89/J65)</f>
        <v/>
      </c>
      <c r="L89" s="231">
        <f t="shared" si="94"/>
        <v>0</v>
      </c>
      <c r="M89" s="305" t="str">
        <f>IF(ISERROR(L89/L65),"",L89/L65)</f>
        <v/>
      </c>
      <c r="N89" s="207">
        <f t="shared" si="49"/>
        <v>0</v>
      </c>
      <c r="O89" s="45" t="e">
        <f t="shared" si="95"/>
        <v>#VALUE!</v>
      </c>
      <c r="P89" s="47"/>
      <c r="Q89" s="495"/>
      <c r="R89" s="492" t="str">
        <f>IF(ISERROR(Q89/Q65),"",Q89/Q65)</f>
        <v/>
      </c>
      <c r="S89" s="371"/>
      <c r="T89" s="405" t="str">
        <f>IF(ISERROR(S89/S65),"",S89/S65)</f>
        <v/>
      </c>
      <c r="U89" s="358">
        <f t="shared" si="96"/>
        <v>0</v>
      </c>
      <c r="V89" s="102"/>
      <c r="W89" s="495"/>
      <c r="X89" s="492" t="str">
        <f>IF(ISERROR(W89/W65),"",W89/W65)</f>
        <v/>
      </c>
      <c r="Y89" s="371"/>
      <c r="Z89" s="405" t="str">
        <f>IF(ISERROR(Y89/Y65),"",Y89/Y65)</f>
        <v/>
      </c>
      <c r="AA89" s="358">
        <f t="shared" si="113"/>
        <v>0</v>
      </c>
      <c r="AB89" s="102"/>
      <c r="AC89" s="495"/>
      <c r="AD89" s="492" t="str">
        <f>IF(ISERROR(AC89/AC65),"",AC89/AC65)</f>
        <v/>
      </c>
      <c r="AE89" s="371"/>
      <c r="AF89" s="405" t="str">
        <f>IF(ISERROR(AE89/AE65),"",AE89/AE65)</f>
        <v/>
      </c>
      <c r="AG89" s="358">
        <f t="shared" si="114"/>
        <v>0</v>
      </c>
      <c r="AH89" s="103" t="e">
        <f t="shared" si="99"/>
        <v>#VALUE!</v>
      </c>
      <c r="AI89" s="286">
        <f t="shared" si="55"/>
        <v>0</v>
      </c>
      <c r="AJ89" s="305" t="str">
        <f>IF(ISERROR(AI89/AI65),"",AI89/AI65)</f>
        <v/>
      </c>
      <c r="AK89" s="231">
        <f t="shared" si="56"/>
        <v>0</v>
      </c>
      <c r="AL89" s="305" t="str">
        <f>IF(ISERROR(AK89/AK65),"",AK89/AK65)</f>
        <v/>
      </c>
      <c r="AM89" s="231">
        <f t="shared" si="100"/>
        <v>0</v>
      </c>
      <c r="AN89" s="102"/>
      <c r="AO89" s="99"/>
      <c r="AP89" s="495"/>
      <c r="AQ89" s="492" t="str">
        <f>IF(ISERROR(AP89/AP65),"",AP89/AP65)</f>
        <v/>
      </c>
      <c r="AR89" s="371"/>
      <c r="AS89" s="405" t="str">
        <f>IF(ISERROR(AR89/AR65),"",AR89/AR65)</f>
        <v/>
      </c>
      <c r="AT89" s="358">
        <f t="shared" si="115"/>
        <v>0</v>
      </c>
      <c r="AU89" s="102"/>
      <c r="AV89" s="495"/>
      <c r="AW89" s="492" t="str">
        <f>IF(ISERROR(AV89/AV65),"",AV89/AV65)</f>
        <v/>
      </c>
      <c r="AX89" s="371"/>
      <c r="AY89" s="405" t="str">
        <f>IF(ISERROR(AX89/AX65),"",AX89/AX65)</f>
        <v/>
      </c>
      <c r="AZ89" s="358">
        <f t="shared" si="116"/>
        <v>0</v>
      </c>
      <c r="BA89" s="102"/>
      <c r="BB89" s="495"/>
      <c r="BC89" s="492" t="str">
        <f>IF(ISERROR(BB89/BB65),"",BB89/BB65)</f>
        <v/>
      </c>
      <c r="BD89" s="371"/>
      <c r="BE89" s="405" t="str">
        <f>IF(ISERROR(BD89/BD65),"",BD89/BD65)</f>
        <v/>
      </c>
      <c r="BF89" s="358">
        <f t="shared" si="117"/>
        <v>0</v>
      </c>
      <c r="BG89" s="102"/>
      <c r="BH89" s="286">
        <f t="shared" si="61"/>
        <v>0</v>
      </c>
      <c r="BI89" s="305" t="str">
        <f>IF(ISERROR(BH89/BH65),"",BH89/BH65)</f>
        <v/>
      </c>
      <c r="BJ89" s="231">
        <f t="shared" si="62"/>
        <v>0</v>
      </c>
      <c r="BK89" s="305" t="str">
        <f>IF(ISERROR(BJ89/BJ65),"",BJ89/BJ65)</f>
        <v/>
      </c>
      <c r="BL89" s="231">
        <f t="shared" si="104"/>
        <v>0</v>
      </c>
      <c r="BM89" s="102"/>
      <c r="BN89" s="99"/>
      <c r="BO89" s="495"/>
      <c r="BP89" s="492" t="str">
        <f>IF(ISERROR(BO89/BO65),"",BO89/BO65)</f>
        <v/>
      </c>
      <c r="BQ89" s="371"/>
      <c r="BR89" s="405" t="str">
        <f>IF(ISERROR(BQ89/BQ65),"",BQ89/BQ65)</f>
        <v/>
      </c>
      <c r="BS89" s="358">
        <f t="shared" si="118"/>
        <v>0</v>
      </c>
      <c r="BT89" s="102"/>
      <c r="BU89" s="495"/>
      <c r="BV89" s="492" t="str">
        <f>IF(ISERROR(BU89/BU65),"",BU89/BU65)</f>
        <v/>
      </c>
      <c r="BW89" s="371"/>
      <c r="BX89" s="405" t="str">
        <f>IF(ISERROR(BW89/BW65),"",BW89/BW65)</f>
        <v/>
      </c>
      <c r="BY89" s="358">
        <f t="shared" si="119"/>
        <v>0</v>
      </c>
      <c r="BZ89" s="102"/>
      <c r="CA89" s="495"/>
      <c r="CB89" s="492" t="str">
        <f>IF(ISERROR(CA89/CA65),"",CA89/CA65)</f>
        <v/>
      </c>
      <c r="CC89" s="371"/>
      <c r="CD89" s="405" t="str">
        <f>IF(ISERROR(CC89/CC65),"",CC89/CC65)</f>
        <v/>
      </c>
      <c r="CE89" s="358">
        <f t="shared" si="120"/>
        <v>0</v>
      </c>
      <c r="CF89" s="102"/>
      <c r="CG89" s="286">
        <f t="shared" si="67"/>
        <v>0</v>
      </c>
      <c r="CH89" s="305" t="str">
        <f>IF(ISERROR(CG89/CG65),"",CG89/CG65)</f>
        <v/>
      </c>
      <c r="CI89" s="231">
        <f t="shared" si="68"/>
        <v>0</v>
      </c>
      <c r="CJ89" s="305" t="str">
        <f>IF(ISERROR(CI89/CI65),"",CI89/CI65)</f>
        <v/>
      </c>
      <c r="CK89" s="231">
        <f t="shared" si="108"/>
        <v>0</v>
      </c>
      <c r="CL89" s="102"/>
      <c r="CM89" s="100"/>
      <c r="CN89" s="495"/>
      <c r="CO89" s="492" t="str">
        <f>IF(ISERROR(CN89/CN65),"",CN89/CN65)</f>
        <v/>
      </c>
      <c r="CP89" s="371"/>
      <c r="CQ89" s="405" t="str">
        <f>IF(ISERROR(CP89/CP65),"",CP89/CP65)</f>
        <v/>
      </c>
      <c r="CR89" s="358">
        <f t="shared" si="121"/>
        <v>0</v>
      </c>
      <c r="CS89" s="102"/>
      <c r="CT89" s="495"/>
      <c r="CU89" s="492" t="str">
        <f>IF(ISERROR(CT89/CT65),"",CT89/CT65)</f>
        <v/>
      </c>
      <c r="CV89" s="371"/>
      <c r="CW89" s="405" t="str">
        <f>IF(ISERROR(CV89/CV65),"",CV89/CV65)</f>
        <v/>
      </c>
      <c r="CX89" s="358">
        <f t="shared" si="122"/>
        <v>0</v>
      </c>
      <c r="CY89" s="102"/>
      <c r="CZ89" s="495"/>
      <c r="DA89" s="492" t="str">
        <f>IF(ISERROR(CZ89/CZ65),"",CZ89/CZ65)</f>
        <v/>
      </c>
      <c r="DB89" s="371"/>
      <c r="DC89" s="405" t="str">
        <f>IF(ISERROR(DB89/DB65),"",DB89/DB65)</f>
        <v/>
      </c>
      <c r="DD89" s="358">
        <f t="shared" si="123"/>
        <v>0</v>
      </c>
      <c r="DE89" s="102"/>
      <c r="DF89" s="286">
        <f t="shared" si="73"/>
        <v>0</v>
      </c>
      <c r="DG89" s="305" t="str">
        <f>IF(ISERROR(DF89/DF65),"",DF89/DF65)</f>
        <v/>
      </c>
      <c r="DH89" s="231">
        <f t="shared" si="74"/>
        <v>0</v>
      </c>
      <c r="DI89" s="305" t="str">
        <f>IF(ISERROR(DH89/DH65),"",DH89/DH65)</f>
        <v/>
      </c>
      <c r="DJ89" s="231">
        <f t="shared" si="112"/>
        <v>0</v>
      </c>
      <c r="DK89" s="8"/>
    </row>
    <row r="90" spans="1:115" s="3" customFormat="1" ht="21.75" customHeight="1" outlineLevel="1" thickTop="1" x14ac:dyDescent="0.25">
      <c r="A90" s="80">
        <v>81</v>
      </c>
      <c r="B90" s="618"/>
      <c r="C90" s="761"/>
      <c r="D90" s="661"/>
      <c r="E90" s="647"/>
      <c r="F90" s="651" t="s">
        <v>55</v>
      </c>
      <c r="G90" s="613"/>
      <c r="H90" s="613"/>
      <c r="I90" s="614"/>
      <c r="J90" s="240">
        <f t="shared" si="93"/>
        <v>0</v>
      </c>
      <c r="K90" s="300" t="str">
        <f>IF(ISERROR(J90/J14),"",J90/J14)</f>
        <v/>
      </c>
      <c r="L90" s="241">
        <f t="shared" si="94"/>
        <v>0</v>
      </c>
      <c r="M90" s="300" t="str">
        <f>IF(ISERROR(L90/L14),"",L90/L14)</f>
        <v/>
      </c>
      <c r="N90" s="212">
        <f t="shared" si="49"/>
        <v>0</v>
      </c>
      <c r="O90" s="51" t="e">
        <f t="shared" si="95"/>
        <v>#VALUE!</v>
      </c>
      <c r="P90" s="47"/>
      <c r="Q90" s="393">
        <f>IF(ISERROR(R90*Q14),"",R90*Q14)</f>
        <v>0</v>
      </c>
      <c r="R90" s="368">
        <v>25</v>
      </c>
      <c r="S90" s="376"/>
      <c r="T90" s="377" t="str">
        <f>IF(ISERROR(S90/S14),"",S90/S14)</f>
        <v/>
      </c>
      <c r="U90" s="378">
        <f t="shared" si="96"/>
        <v>0</v>
      </c>
      <c r="V90" s="114"/>
      <c r="W90" s="393">
        <f>IF(ISERROR(X90*W14),"",X90*W14)</f>
        <v>0</v>
      </c>
      <c r="X90" s="368">
        <v>25</v>
      </c>
      <c r="Y90" s="376"/>
      <c r="Z90" s="377" t="str">
        <f>IF(ISERROR(Y90/Y14),"",Y90/Y14)</f>
        <v/>
      </c>
      <c r="AA90" s="378">
        <f t="shared" si="113"/>
        <v>0</v>
      </c>
      <c r="AB90" s="114"/>
      <c r="AC90" s="393">
        <f>IF(ISERROR(AD90*AC14),"",AD90*AC14)</f>
        <v>0</v>
      </c>
      <c r="AD90" s="368">
        <v>25</v>
      </c>
      <c r="AE90" s="376"/>
      <c r="AF90" s="377" t="str">
        <f>IF(ISERROR(AE90/AE14),"",AE90/AE14)</f>
        <v/>
      </c>
      <c r="AG90" s="378">
        <f t="shared" si="114"/>
        <v>0</v>
      </c>
      <c r="AH90" s="115" t="e">
        <f t="shared" si="99"/>
        <v>#VALUE!</v>
      </c>
      <c r="AI90" s="290">
        <f t="shared" si="55"/>
        <v>0</v>
      </c>
      <c r="AJ90" s="300" t="str">
        <f>IF(ISERROR(AI90/AI14),"",AI90/AI14)</f>
        <v/>
      </c>
      <c r="AK90" s="241">
        <f t="shared" si="56"/>
        <v>0</v>
      </c>
      <c r="AL90" s="300" t="str">
        <f>IF(ISERROR(AK90/AK14),"",AK90/AK14)</f>
        <v/>
      </c>
      <c r="AM90" s="241">
        <f t="shared" si="100"/>
        <v>0</v>
      </c>
      <c r="AN90" s="114"/>
      <c r="AO90" s="99"/>
      <c r="AP90" s="393">
        <f>IF(ISERROR(AQ90*AP14),"",AQ90*AP14)</f>
        <v>0</v>
      </c>
      <c r="AQ90" s="368">
        <v>25</v>
      </c>
      <c r="AR90" s="376"/>
      <c r="AS90" s="377" t="str">
        <f>IF(ISERROR(AR90/AR14),"",AR90/AR14)</f>
        <v/>
      </c>
      <c r="AT90" s="378">
        <f t="shared" si="115"/>
        <v>0</v>
      </c>
      <c r="AU90" s="114"/>
      <c r="AV90" s="393">
        <f>IF(ISERROR(AW90*AV14),"",AW90*AV14)</f>
        <v>0</v>
      </c>
      <c r="AW90" s="368">
        <v>25</v>
      </c>
      <c r="AX90" s="376"/>
      <c r="AY90" s="377" t="str">
        <f>IF(ISERROR(AX90/AX14),"",AX90/AX14)</f>
        <v/>
      </c>
      <c r="AZ90" s="378">
        <f t="shared" si="116"/>
        <v>0</v>
      </c>
      <c r="BA90" s="114"/>
      <c r="BB90" s="393">
        <f>IF(ISERROR(BC90*BB14),"",BC90*BB14)</f>
        <v>0</v>
      </c>
      <c r="BC90" s="368">
        <v>25</v>
      </c>
      <c r="BD90" s="376"/>
      <c r="BE90" s="377" t="str">
        <f>IF(ISERROR(BD90/BD14),"",BD90/BD14)</f>
        <v/>
      </c>
      <c r="BF90" s="378">
        <f t="shared" si="117"/>
        <v>0</v>
      </c>
      <c r="BG90" s="114"/>
      <c r="BH90" s="290">
        <f t="shared" si="61"/>
        <v>0</v>
      </c>
      <c r="BI90" s="300" t="str">
        <f>IF(ISERROR(BH90/BH14),"",BH90/BH14)</f>
        <v/>
      </c>
      <c r="BJ90" s="241">
        <f t="shared" si="62"/>
        <v>0</v>
      </c>
      <c r="BK90" s="300" t="str">
        <f>IF(ISERROR(BJ90/BJ14),"",BJ90/BJ14)</f>
        <v/>
      </c>
      <c r="BL90" s="241">
        <f t="shared" si="104"/>
        <v>0</v>
      </c>
      <c r="BM90" s="114"/>
      <c r="BN90" s="99"/>
      <c r="BO90" s="393">
        <f>IF(ISERROR(BP90*BO14),"",BP90*BO14)</f>
        <v>0</v>
      </c>
      <c r="BP90" s="368">
        <v>25</v>
      </c>
      <c r="BQ90" s="376"/>
      <c r="BR90" s="377" t="str">
        <f>IF(ISERROR(BQ90/BQ14),"",BQ90/BQ14)</f>
        <v/>
      </c>
      <c r="BS90" s="378">
        <f t="shared" si="118"/>
        <v>0</v>
      </c>
      <c r="BT90" s="114"/>
      <c r="BU90" s="393">
        <f>IF(ISERROR(BV90*BU14),"",BV90*BU14)</f>
        <v>0</v>
      </c>
      <c r="BV90" s="368">
        <v>25</v>
      </c>
      <c r="BW90" s="376"/>
      <c r="BX90" s="377" t="str">
        <f>IF(ISERROR(BW90/BW14),"",BW90/BW14)</f>
        <v/>
      </c>
      <c r="BY90" s="378">
        <f t="shared" si="119"/>
        <v>0</v>
      </c>
      <c r="BZ90" s="114"/>
      <c r="CA90" s="393">
        <f>IF(ISERROR(CB90*CA14),"",CB90*CA14)</f>
        <v>0</v>
      </c>
      <c r="CB90" s="368">
        <v>25</v>
      </c>
      <c r="CC90" s="376"/>
      <c r="CD90" s="377" t="str">
        <f>IF(ISERROR(CC90/CC14),"",CC90/CC14)</f>
        <v/>
      </c>
      <c r="CE90" s="378">
        <f t="shared" si="120"/>
        <v>0</v>
      </c>
      <c r="CF90" s="114"/>
      <c r="CG90" s="290">
        <f t="shared" si="67"/>
        <v>0</v>
      </c>
      <c r="CH90" s="300" t="str">
        <f>IF(ISERROR(CG90/CG14),"",CG90/CG14)</f>
        <v/>
      </c>
      <c r="CI90" s="241">
        <f t="shared" si="68"/>
        <v>0</v>
      </c>
      <c r="CJ90" s="300" t="str">
        <f>IF(ISERROR(CI90/CI14),"",CI90/CI14)</f>
        <v/>
      </c>
      <c r="CK90" s="241">
        <f t="shared" si="108"/>
        <v>0</v>
      </c>
      <c r="CL90" s="114"/>
      <c r="CM90" s="100"/>
      <c r="CN90" s="393">
        <f>IF(ISERROR(CO90*CN14),"",CO90*CN14)</f>
        <v>0</v>
      </c>
      <c r="CO90" s="368">
        <v>25</v>
      </c>
      <c r="CP90" s="376"/>
      <c r="CQ90" s="377" t="str">
        <f>IF(ISERROR(CP90/CP14),"",CP90/CP14)</f>
        <v/>
      </c>
      <c r="CR90" s="378">
        <f t="shared" si="121"/>
        <v>0</v>
      </c>
      <c r="CS90" s="114"/>
      <c r="CT90" s="393">
        <f>IF(ISERROR(CU90*CT14),"",CU90*CT14)</f>
        <v>0</v>
      </c>
      <c r="CU90" s="368">
        <v>25</v>
      </c>
      <c r="CV90" s="376"/>
      <c r="CW90" s="377" t="str">
        <f>IF(ISERROR(CV90/CV14),"",CV90/CV14)</f>
        <v/>
      </c>
      <c r="CX90" s="378">
        <f t="shared" si="122"/>
        <v>0</v>
      </c>
      <c r="CY90" s="114"/>
      <c r="CZ90" s="393">
        <f>IF(ISERROR(DA90*CZ14),"",DA90*CZ14)</f>
        <v>0</v>
      </c>
      <c r="DA90" s="368">
        <v>25</v>
      </c>
      <c r="DB90" s="376"/>
      <c r="DC90" s="377" t="str">
        <f>IF(ISERROR(DB90/DB14),"",DB90/DB14)</f>
        <v/>
      </c>
      <c r="DD90" s="378">
        <f t="shared" si="123"/>
        <v>0</v>
      </c>
      <c r="DE90" s="114"/>
      <c r="DF90" s="290">
        <f t="shared" si="73"/>
        <v>0</v>
      </c>
      <c r="DG90" s="300" t="str">
        <f>IF(ISERROR(DF90/DF14),"",DF90/DF14)</f>
        <v/>
      </c>
      <c r="DH90" s="241">
        <f t="shared" si="74"/>
        <v>0</v>
      </c>
      <c r="DI90" s="300" t="str">
        <f>IF(ISERROR(DH90/DH14),"",DH90/DH14)</f>
        <v/>
      </c>
      <c r="DJ90" s="241">
        <f t="shared" si="112"/>
        <v>0</v>
      </c>
      <c r="DK90" s="13"/>
    </row>
    <row r="91" spans="1:115" s="3" customFormat="1" ht="21.75" customHeight="1" outlineLevel="1" x14ac:dyDescent="0.25">
      <c r="A91" s="80">
        <v>82</v>
      </c>
      <c r="B91" s="618"/>
      <c r="C91" s="761"/>
      <c r="D91" s="661"/>
      <c r="E91" s="648"/>
      <c r="F91" s="652" t="s">
        <v>56</v>
      </c>
      <c r="G91" s="653"/>
      <c r="H91" s="653"/>
      <c r="I91" s="654"/>
      <c r="J91" s="242">
        <f t="shared" si="93"/>
        <v>0</v>
      </c>
      <c r="K91" s="279" t="str">
        <f>IF(ISERROR(J91/J14),"",J91/J14)</f>
        <v/>
      </c>
      <c r="L91" s="243">
        <f t="shared" si="94"/>
        <v>0</v>
      </c>
      <c r="M91" s="279" t="str">
        <f>IF(ISERROR(L91/L14),"",L91/L14)</f>
        <v/>
      </c>
      <c r="N91" s="213">
        <f t="shared" si="49"/>
        <v>0</v>
      </c>
      <c r="O91" s="52" t="e">
        <f t="shared" si="95"/>
        <v>#VALUE!</v>
      </c>
      <c r="P91" s="47"/>
      <c r="Q91" s="379">
        <f>SUM(Q86:Q90)</f>
        <v>0</v>
      </c>
      <c r="R91" s="380" t="str">
        <f>IF(ISERROR(Q91/Q14),"",Q91/Q14)</f>
        <v/>
      </c>
      <c r="S91" s="381">
        <f>SUM(S86:S90)</f>
        <v>0</v>
      </c>
      <c r="T91" s="382" t="str">
        <f>IF(ISERROR(S91/S14),"",S91/S14)</f>
        <v/>
      </c>
      <c r="U91" s="381">
        <f t="shared" si="96"/>
        <v>0</v>
      </c>
      <c r="V91" s="117"/>
      <c r="W91" s="379">
        <f>SUM(W86:W90)</f>
        <v>0</v>
      </c>
      <c r="X91" s="380" t="str">
        <f>IF(ISERROR(W91/W14),"",W91/W14)</f>
        <v/>
      </c>
      <c r="Y91" s="381">
        <f>SUM(Y86:Y90)</f>
        <v>0</v>
      </c>
      <c r="Z91" s="382" t="str">
        <f>IF(ISERROR(Y91/Y14),"",Y91/Y14)</f>
        <v/>
      </c>
      <c r="AA91" s="381">
        <f t="shared" si="113"/>
        <v>0</v>
      </c>
      <c r="AB91" s="117"/>
      <c r="AC91" s="379">
        <f>SUM(AC86:AC90)</f>
        <v>0</v>
      </c>
      <c r="AD91" s="380" t="str">
        <f>IF(ISERROR(AC91/AC14),"",AC91/AC14)</f>
        <v/>
      </c>
      <c r="AE91" s="381">
        <f>SUM(AE86:AE90)</f>
        <v>0</v>
      </c>
      <c r="AF91" s="382" t="str">
        <f>IF(ISERROR(AE91/AE14),"",AE91/AE14)</f>
        <v/>
      </c>
      <c r="AG91" s="381">
        <f t="shared" si="114"/>
        <v>0</v>
      </c>
      <c r="AH91" s="116" t="e">
        <f t="shared" si="99"/>
        <v>#VALUE!</v>
      </c>
      <c r="AI91" s="242">
        <f t="shared" si="55"/>
        <v>0</v>
      </c>
      <c r="AJ91" s="279" t="str">
        <f>IF(ISERROR(AI91/AI14),"",AI91/AI14)</f>
        <v/>
      </c>
      <c r="AK91" s="243">
        <f t="shared" si="56"/>
        <v>0</v>
      </c>
      <c r="AL91" s="279" t="str">
        <f>IF(ISERROR(AK91/AK14),"",AK91/AK14)</f>
        <v/>
      </c>
      <c r="AM91" s="243">
        <f t="shared" si="100"/>
        <v>0</v>
      </c>
      <c r="AN91" s="117"/>
      <c r="AO91" s="99"/>
      <c r="AP91" s="379">
        <f>SUM(AP86:AP90)</f>
        <v>0</v>
      </c>
      <c r="AQ91" s="380" t="str">
        <f>IF(ISERROR(AP91/AP14),"",AP91/AP14)</f>
        <v/>
      </c>
      <c r="AR91" s="381">
        <f>SUM(AR86:AR90)</f>
        <v>0</v>
      </c>
      <c r="AS91" s="382" t="str">
        <f>IF(ISERROR(AR91/AR14),"",AR91/AR14)</f>
        <v/>
      </c>
      <c r="AT91" s="381">
        <f t="shared" si="115"/>
        <v>0</v>
      </c>
      <c r="AU91" s="117"/>
      <c r="AV91" s="379">
        <f>SUM(AV86:AV90)</f>
        <v>0</v>
      </c>
      <c r="AW91" s="380" t="str">
        <f>IF(ISERROR(AV91/AV14),"",AV91/AV14)</f>
        <v/>
      </c>
      <c r="AX91" s="381">
        <f>SUM(AX86:AX90)</f>
        <v>0</v>
      </c>
      <c r="AY91" s="382" t="str">
        <f>IF(ISERROR(AX91/AX14),"",AX91/AX14)</f>
        <v/>
      </c>
      <c r="AZ91" s="381">
        <f t="shared" si="116"/>
        <v>0</v>
      </c>
      <c r="BA91" s="117"/>
      <c r="BB91" s="379">
        <f>SUM(BB86:BB90)</f>
        <v>0</v>
      </c>
      <c r="BC91" s="380" t="str">
        <f>IF(ISERROR(BB91/BB14),"",BB91/BB14)</f>
        <v/>
      </c>
      <c r="BD91" s="381">
        <f>SUM(BD86:BD90)</f>
        <v>0</v>
      </c>
      <c r="BE91" s="382" t="str">
        <f>IF(ISERROR(BD91/BD14),"",BD91/BD14)</f>
        <v/>
      </c>
      <c r="BF91" s="381">
        <f t="shared" si="117"/>
        <v>0</v>
      </c>
      <c r="BG91" s="117"/>
      <c r="BH91" s="242">
        <f t="shared" si="61"/>
        <v>0</v>
      </c>
      <c r="BI91" s="279" t="str">
        <f>IF(ISERROR(BH91/BH14),"",BH91/BH14)</f>
        <v/>
      </c>
      <c r="BJ91" s="243">
        <f t="shared" si="62"/>
        <v>0</v>
      </c>
      <c r="BK91" s="279" t="str">
        <f>IF(ISERROR(BJ91/BJ14),"",BJ91/BJ14)</f>
        <v/>
      </c>
      <c r="BL91" s="243">
        <f t="shared" si="104"/>
        <v>0</v>
      </c>
      <c r="BM91" s="117"/>
      <c r="BN91" s="99"/>
      <c r="BO91" s="379">
        <f>SUM(BO86:BO90)</f>
        <v>0</v>
      </c>
      <c r="BP91" s="380" t="str">
        <f>IF(ISERROR(BO91/BO14),"",BO91/BO14)</f>
        <v/>
      </c>
      <c r="BQ91" s="381">
        <f>SUM(BQ86:BQ90)</f>
        <v>0</v>
      </c>
      <c r="BR91" s="382" t="str">
        <f>IF(ISERROR(BQ91/BQ14),"",BQ91/BQ14)</f>
        <v/>
      </c>
      <c r="BS91" s="381">
        <f t="shared" si="118"/>
        <v>0</v>
      </c>
      <c r="BT91" s="117"/>
      <c r="BU91" s="379">
        <f>SUM(BU86:BU90)</f>
        <v>0</v>
      </c>
      <c r="BV91" s="380" t="str">
        <f>IF(ISERROR(BU91/BU14),"",BU91/BU14)</f>
        <v/>
      </c>
      <c r="BW91" s="381">
        <f>SUM(BW86:BW90)</f>
        <v>0</v>
      </c>
      <c r="BX91" s="382" t="str">
        <f>IF(ISERROR(BW91/BW14),"",BW91/BW14)</f>
        <v/>
      </c>
      <c r="BY91" s="381">
        <f t="shared" si="119"/>
        <v>0</v>
      </c>
      <c r="BZ91" s="117"/>
      <c r="CA91" s="379">
        <f>SUM(CA86:CA90)</f>
        <v>0</v>
      </c>
      <c r="CB91" s="380" t="str">
        <f>IF(ISERROR(CA91/CA14),"",CA91/CA14)</f>
        <v/>
      </c>
      <c r="CC91" s="381">
        <f>SUM(CC86:CC90)</f>
        <v>0</v>
      </c>
      <c r="CD91" s="382" t="str">
        <f>IF(ISERROR(CC91/CC14),"",CC91/CC14)</f>
        <v/>
      </c>
      <c r="CE91" s="381">
        <f t="shared" si="120"/>
        <v>0</v>
      </c>
      <c r="CF91" s="117"/>
      <c r="CG91" s="242">
        <f t="shared" si="67"/>
        <v>0</v>
      </c>
      <c r="CH91" s="279" t="str">
        <f>IF(ISERROR(CG91/CG14),"",CG91/CG14)</f>
        <v/>
      </c>
      <c r="CI91" s="243">
        <f t="shared" si="68"/>
        <v>0</v>
      </c>
      <c r="CJ91" s="279" t="str">
        <f>IF(ISERROR(CI91/CI14),"",CI91/CI14)</f>
        <v/>
      </c>
      <c r="CK91" s="243">
        <f t="shared" si="108"/>
        <v>0</v>
      </c>
      <c r="CL91" s="117"/>
      <c r="CM91" s="100"/>
      <c r="CN91" s="379">
        <f>SUM(CN86:CN90)</f>
        <v>0</v>
      </c>
      <c r="CO91" s="380" t="str">
        <f>IF(ISERROR(CN91/CN14),"",CN91/CN14)</f>
        <v/>
      </c>
      <c r="CP91" s="381">
        <f>SUM(CP86:CP90)</f>
        <v>0</v>
      </c>
      <c r="CQ91" s="382" t="str">
        <f>IF(ISERROR(CP91/CP14),"",CP91/CP14)</f>
        <v/>
      </c>
      <c r="CR91" s="381">
        <f t="shared" si="121"/>
        <v>0</v>
      </c>
      <c r="CS91" s="117"/>
      <c r="CT91" s="379">
        <f>SUM(CT86:CT90)</f>
        <v>0</v>
      </c>
      <c r="CU91" s="380" t="str">
        <f>IF(ISERROR(CT91/CT14),"",CT91/CT14)</f>
        <v/>
      </c>
      <c r="CV91" s="381">
        <f>SUM(CV86:CV90)</f>
        <v>0</v>
      </c>
      <c r="CW91" s="382" t="str">
        <f>IF(ISERROR(CV91/CV14),"",CV91/CV14)</f>
        <v/>
      </c>
      <c r="CX91" s="381">
        <f t="shared" si="122"/>
        <v>0</v>
      </c>
      <c r="CY91" s="117"/>
      <c r="CZ91" s="379">
        <f>SUM(CZ86:CZ90)</f>
        <v>0</v>
      </c>
      <c r="DA91" s="380" t="str">
        <f>IF(ISERROR(CZ91/CZ14),"",CZ91/CZ14)</f>
        <v/>
      </c>
      <c r="DB91" s="381">
        <f>SUM(DB86:DB90)</f>
        <v>0</v>
      </c>
      <c r="DC91" s="382" t="str">
        <f>IF(ISERROR(DB91/DB14),"",DB91/DB14)</f>
        <v/>
      </c>
      <c r="DD91" s="381">
        <f t="shared" si="123"/>
        <v>0</v>
      </c>
      <c r="DE91" s="117"/>
      <c r="DF91" s="242">
        <f t="shared" si="73"/>
        <v>0</v>
      </c>
      <c r="DG91" s="279" t="str">
        <f>IF(ISERROR(DF91/DF14),"",DF91/DF14)</f>
        <v/>
      </c>
      <c r="DH91" s="243">
        <f t="shared" si="74"/>
        <v>0</v>
      </c>
      <c r="DI91" s="279" t="str">
        <f>IF(ISERROR(DH91/DH14),"",DH91/DH14)</f>
        <v/>
      </c>
      <c r="DJ91" s="243">
        <f t="shared" si="112"/>
        <v>0</v>
      </c>
      <c r="DK91" s="14"/>
    </row>
    <row r="92" spans="1:115" s="3" customFormat="1" ht="21.75" customHeight="1" outlineLevel="1" thickBot="1" x14ac:dyDescent="0.3">
      <c r="A92" s="80">
        <v>83</v>
      </c>
      <c r="B92" s="618"/>
      <c r="C92" s="761"/>
      <c r="D92" s="86"/>
      <c r="E92" s="587" t="s">
        <v>91</v>
      </c>
      <c r="F92" s="588"/>
      <c r="G92" s="588"/>
      <c r="H92" s="588"/>
      <c r="I92" s="589"/>
      <c r="J92" s="250">
        <f t="shared" si="93"/>
        <v>0</v>
      </c>
      <c r="K92" s="301" t="str">
        <f>IF(ISERROR(J92/J14),"",J92/J14)</f>
        <v/>
      </c>
      <c r="L92" s="251">
        <f t="shared" si="94"/>
        <v>0</v>
      </c>
      <c r="M92" s="301" t="str">
        <f>IF(ISERROR(L92/L14),"",L92/L14)</f>
        <v/>
      </c>
      <c r="N92" s="217">
        <f t="shared" si="49"/>
        <v>0</v>
      </c>
      <c r="O92" s="56" t="e">
        <f t="shared" si="95"/>
        <v>#VALUE!</v>
      </c>
      <c r="P92" s="47"/>
      <c r="Q92" s="383">
        <f>Q85-Q91</f>
        <v>0</v>
      </c>
      <c r="R92" s="389" t="str">
        <f>IF(ISERROR(Q92/Q14),"",Q92/Q14)</f>
        <v/>
      </c>
      <c r="S92" s="390">
        <f>S85-S91</f>
        <v>0</v>
      </c>
      <c r="T92" s="389" t="str">
        <f>IF(ISERROR(S92/S14),"",S92/S14)</f>
        <v/>
      </c>
      <c r="U92" s="390">
        <f t="shared" si="96"/>
        <v>0</v>
      </c>
      <c r="V92" s="125"/>
      <c r="W92" s="383">
        <f>W85-W91</f>
        <v>0</v>
      </c>
      <c r="X92" s="389" t="str">
        <f>IF(ISERROR(W92/W14),"",W92/W14)</f>
        <v/>
      </c>
      <c r="Y92" s="390">
        <f>Y85-Y91</f>
        <v>0</v>
      </c>
      <c r="Z92" s="389" t="str">
        <f>IF(ISERROR(Y92/Y14),"",Y92/Y14)</f>
        <v/>
      </c>
      <c r="AA92" s="390">
        <f t="shared" si="113"/>
        <v>0</v>
      </c>
      <c r="AB92" s="125"/>
      <c r="AC92" s="383">
        <f>AC85-AC91</f>
        <v>0</v>
      </c>
      <c r="AD92" s="389" t="str">
        <f>IF(ISERROR(AC92/AC14),"",AC92/AC14)</f>
        <v/>
      </c>
      <c r="AE92" s="390">
        <f>AE85-AE91</f>
        <v>0</v>
      </c>
      <c r="AF92" s="389" t="str">
        <f>IF(ISERROR(AE92/AE14),"",AE92/AE14)</f>
        <v/>
      </c>
      <c r="AG92" s="390">
        <f t="shared" si="114"/>
        <v>0</v>
      </c>
      <c r="AH92" s="124" t="e">
        <f t="shared" si="99"/>
        <v>#VALUE!</v>
      </c>
      <c r="AI92" s="250">
        <f t="shared" si="55"/>
        <v>0</v>
      </c>
      <c r="AJ92" s="301" t="str">
        <f>IF(ISERROR(AI92/AI14),"",AI92/AI14)</f>
        <v/>
      </c>
      <c r="AK92" s="251">
        <f t="shared" si="56"/>
        <v>0</v>
      </c>
      <c r="AL92" s="301" t="str">
        <f>IF(ISERROR(AK92/AK14),"",AK92/AK14)</f>
        <v/>
      </c>
      <c r="AM92" s="251">
        <f t="shared" si="100"/>
        <v>0</v>
      </c>
      <c r="AN92" s="125"/>
      <c r="AO92" s="126"/>
      <c r="AP92" s="383">
        <f>AP85-AP91</f>
        <v>0</v>
      </c>
      <c r="AQ92" s="389" t="str">
        <f>IF(ISERROR(AP92/AP14),"",AP92/AP14)</f>
        <v/>
      </c>
      <c r="AR92" s="390">
        <f>AR85-AR91</f>
        <v>0</v>
      </c>
      <c r="AS92" s="389" t="str">
        <f>IF(ISERROR(AR92/AR14),"",AR92/AR14)</f>
        <v/>
      </c>
      <c r="AT92" s="390">
        <f t="shared" si="115"/>
        <v>0</v>
      </c>
      <c r="AU92" s="125"/>
      <c r="AV92" s="383">
        <f>AV85-AV91</f>
        <v>0</v>
      </c>
      <c r="AW92" s="389" t="str">
        <f>IF(ISERROR(AV92/AV14),"",AV92/AV14)</f>
        <v/>
      </c>
      <c r="AX92" s="390">
        <f>AX85-AX91</f>
        <v>0</v>
      </c>
      <c r="AY92" s="389" t="str">
        <f>IF(ISERROR(AX92/AX14),"",AX92/AX14)</f>
        <v/>
      </c>
      <c r="AZ92" s="390">
        <f t="shared" si="116"/>
        <v>0</v>
      </c>
      <c r="BA92" s="125"/>
      <c r="BB92" s="383">
        <f>BB85-BB91</f>
        <v>0</v>
      </c>
      <c r="BC92" s="389" t="str">
        <f>IF(ISERROR(BB92/BB14),"",BB92/BB14)</f>
        <v/>
      </c>
      <c r="BD92" s="390">
        <f>BD85-BD91</f>
        <v>0</v>
      </c>
      <c r="BE92" s="389" t="str">
        <f>IF(ISERROR(BD92/BD14),"",BD92/BD14)</f>
        <v/>
      </c>
      <c r="BF92" s="390">
        <f t="shared" si="117"/>
        <v>0</v>
      </c>
      <c r="BG92" s="125"/>
      <c r="BH92" s="250">
        <f t="shared" si="61"/>
        <v>0</v>
      </c>
      <c r="BI92" s="301" t="str">
        <f>IF(ISERROR(BH92/BH14),"",BH92/BH14)</f>
        <v/>
      </c>
      <c r="BJ92" s="251">
        <f t="shared" si="62"/>
        <v>0</v>
      </c>
      <c r="BK92" s="301" t="str">
        <f>IF(ISERROR(BJ92/BJ14),"",BJ92/BJ14)</f>
        <v/>
      </c>
      <c r="BL92" s="251">
        <f t="shared" si="104"/>
        <v>0</v>
      </c>
      <c r="BM92" s="125"/>
      <c r="BN92" s="126"/>
      <c r="BO92" s="383">
        <f>BO85-BO91</f>
        <v>0</v>
      </c>
      <c r="BP92" s="389" t="str">
        <f>IF(ISERROR(BO92/BO14),"",BO92/BO14)</f>
        <v/>
      </c>
      <c r="BQ92" s="390">
        <f>BQ85-BQ91</f>
        <v>0</v>
      </c>
      <c r="BR92" s="389" t="str">
        <f>IF(ISERROR(BQ92/BQ14),"",BQ92/BQ14)</f>
        <v/>
      </c>
      <c r="BS92" s="390">
        <f t="shared" si="118"/>
        <v>0</v>
      </c>
      <c r="BT92" s="125"/>
      <c r="BU92" s="383">
        <f>BU85-BU91</f>
        <v>0</v>
      </c>
      <c r="BV92" s="389" t="str">
        <f>IF(ISERROR(BU92/BU14),"",BU92/BU14)</f>
        <v/>
      </c>
      <c r="BW92" s="390">
        <f>BW85-BW91</f>
        <v>0</v>
      </c>
      <c r="BX92" s="389" t="str">
        <f>IF(ISERROR(BW92/BW14),"",BW92/BW14)</f>
        <v/>
      </c>
      <c r="BY92" s="390">
        <f t="shared" si="119"/>
        <v>0</v>
      </c>
      <c r="BZ92" s="125"/>
      <c r="CA92" s="383">
        <f>CA85-CA91</f>
        <v>0</v>
      </c>
      <c r="CB92" s="389" t="str">
        <f>IF(ISERROR(CA92/CA14),"",CA92/CA14)</f>
        <v/>
      </c>
      <c r="CC92" s="390">
        <f>CC85-CC91</f>
        <v>0</v>
      </c>
      <c r="CD92" s="389" t="str">
        <f>IF(ISERROR(CC92/CC14),"",CC92/CC14)</f>
        <v/>
      </c>
      <c r="CE92" s="390">
        <f t="shared" si="120"/>
        <v>0</v>
      </c>
      <c r="CF92" s="125"/>
      <c r="CG92" s="250">
        <f t="shared" si="67"/>
        <v>0</v>
      </c>
      <c r="CH92" s="301" t="str">
        <f>IF(ISERROR(CG92/CG14),"",CG92/CG14)</f>
        <v/>
      </c>
      <c r="CI92" s="251">
        <f t="shared" si="68"/>
        <v>0</v>
      </c>
      <c r="CJ92" s="301" t="str">
        <f>IF(ISERROR(CI92/CI14),"",CI92/CI14)</f>
        <v/>
      </c>
      <c r="CK92" s="251">
        <f t="shared" si="108"/>
        <v>0</v>
      </c>
      <c r="CL92" s="125"/>
      <c r="CM92" s="127"/>
      <c r="CN92" s="383">
        <f>CN85-CN91</f>
        <v>0</v>
      </c>
      <c r="CO92" s="389" t="str">
        <f>IF(ISERROR(CN92/CN14),"",CN92/CN14)</f>
        <v/>
      </c>
      <c r="CP92" s="390">
        <f>CP85-CP91</f>
        <v>0</v>
      </c>
      <c r="CQ92" s="389" t="str">
        <f>IF(ISERROR(CP92/CP14),"",CP92/CP14)</f>
        <v/>
      </c>
      <c r="CR92" s="390">
        <f t="shared" si="121"/>
        <v>0</v>
      </c>
      <c r="CS92" s="125"/>
      <c r="CT92" s="383">
        <f>CT85-CT91</f>
        <v>0</v>
      </c>
      <c r="CU92" s="389" t="str">
        <f>IF(ISERROR(CT92/CT14),"",CT92/CT14)</f>
        <v/>
      </c>
      <c r="CV92" s="390">
        <f>CV85-CV91</f>
        <v>0</v>
      </c>
      <c r="CW92" s="389" t="str">
        <f>IF(ISERROR(CV92/CV14),"",CV92/CV14)</f>
        <v/>
      </c>
      <c r="CX92" s="390">
        <f t="shared" si="122"/>
        <v>0</v>
      </c>
      <c r="CY92" s="125"/>
      <c r="CZ92" s="383">
        <f>CZ85-CZ91</f>
        <v>0</v>
      </c>
      <c r="DA92" s="389" t="str">
        <f>IF(ISERROR(CZ92/CZ14),"",CZ92/CZ14)</f>
        <v/>
      </c>
      <c r="DB92" s="390">
        <f>DB85-DB91</f>
        <v>0</v>
      </c>
      <c r="DC92" s="389" t="str">
        <f>IF(ISERROR(DB92/DB14),"",DB92/DB14)</f>
        <v/>
      </c>
      <c r="DD92" s="390">
        <f t="shared" si="123"/>
        <v>0</v>
      </c>
      <c r="DE92" s="125"/>
      <c r="DF92" s="250">
        <f t="shared" si="73"/>
        <v>0</v>
      </c>
      <c r="DG92" s="301" t="str">
        <f>IF(ISERROR(DF92/DF14),"",DF92/DF14)</f>
        <v/>
      </c>
      <c r="DH92" s="251">
        <f t="shared" si="74"/>
        <v>0</v>
      </c>
      <c r="DI92" s="301" t="str">
        <f>IF(ISERROR(DH92/DH14),"",DH92/DH14)</f>
        <v/>
      </c>
      <c r="DJ92" s="251">
        <f t="shared" si="112"/>
        <v>0</v>
      </c>
      <c r="DK92" s="18"/>
    </row>
    <row r="93" spans="1:115" s="3" customFormat="1" ht="21.75" customHeight="1" outlineLevel="1" thickTop="1" x14ac:dyDescent="0.25">
      <c r="A93" s="80">
        <v>84</v>
      </c>
      <c r="B93" s="618"/>
      <c r="C93" s="761"/>
      <c r="D93" s="590" t="s">
        <v>92</v>
      </c>
      <c r="E93" s="591"/>
      <c r="F93" s="591"/>
      <c r="G93" s="591"/>
      <c r="H93" s="591"/>
      <c r="I93" s="592"/>
      <c r="J93" s="256">
        <f t="shared" si="93"/>
        <v>0</v>
      </c>
      <c r="K93" s="306" t="str">
        <f>IF(ISERROR(J93/(J10+J14)),"",J93/(J10+J14))</f>
        <v/>
      </c>
      <c r="L93" s="257">
        <f t="shared" si="94"/>
        <v>0</v>
      </c>
      <c r="M93" s="306" t="str">
        <f>IF(ISERROR(L93/(L10+L14)),"",L93/(L10+L14))</f>
        <v/>
      </c>
      <c r="N93" s="220">
        <f t="shared" si="49"/>
        <v>0</v>
      </c>
      <c r="O93" s="59" t="e">
        <f t="shared" si="95"/>
        <v>#VALUE!</v>
      </c>
      <c r="P93" s="47"/>
      <c r="Q93" s="469"/>
      <c r="R93" s="406" t="str">
        <f>IF(ISERROR(Q93/(Q10+Q14)),"",Q93/(Q10+Q14))</f>
        <v/>
      </c>
      <c r="S93" s="407"/>
      <c r="T93" s="408" t="str">
        <f>IF(ISERROR(S93/(S10+S14)),"",S93/(S10+S14))</f>
        <v/>
      </c>
      <c r="U93" s="407">
        <f t="shared" si="96"/>
        <v>0</v>
      </c>
      <c r="V93" s="133"/>
      <c r="W93" s="469"/>
      <c r="X93" s="406" t="str">
        <f>IF(ISERROR(W93/(W10+W14)),"",W93/(W10+W14))</f>
        <v/>
      </c>
      <c r="Y93" s="407"/>
      <c r="Z93" s="408" t="str">
        <f>IF(ISERROR(Y93/(Y10+Y14)),"",Y93/(Y10+Y14))</f>
        <v/>
      </c>
      <c r="AA93" s="407">
        <f t="shared" si="113"/>
        <v>0</v>
      </c>
      <c r="AB93" s="133"/>
      <c r="AC93" s="469"/>
      <c r="AD93" s="406" t="str">
        <f>IF(ISERROR(AC93/(AC10+AC14)),"",AC93/(AC10+AC14))</f>
        <v/>
      </c>
      <c r="AE93" s="407"/>
      <c r="AF93" s="408" t="str">
        <f>IF(ISERROR(AE93/(AE10+AE14)),"",AE93/(AE10+AE14))</f>
        <v/>
      </c>
      <c r="AG93" s="407">
        <f t="shared" si="114"/>
        <v>0</v>
      </c>
      <c r="AH93" s="132" t="e">
        <f t="shared" si="99"/>
        <v>#VALUE!</v>
      </c>
      <c r="AI93" s="256">
        <f t="shared" si="55"/>
        <v>0</v>
      </c>
      <c r="AJ93" s="306" t="str">
        <f>IF(ISERROR(AI93/(AI10+AI14)),"",AI93/(AI10+AI14))</f>
        <v/>
      </c>
      <c r="AK93" s="257">
        <f t="shared" si="56"/>
        <v>0</v>
      </c>
      <c r="AL93" s="306" t="str">
        <f>IF(ISERROR(AK93/(AK10+AK14)),"",AK93/(AK10+AK14))</f>
        <v/>
      </c>
      <c r="AM93" s="257">
        <f t="shared" si="100"/>
        <v>0</v>
      </c>
      <c r="AN93" s="133"/>
      <c r="AO93" s="99"/>
      <c r="AP93" s="469"/>
      <c r="AQ93" s="406" t="str">
        <f>IF(ISERROR(AP93/(AP10+AP14)),"",AP93/(AP10+AP14))</f>
        <v/>
      </c>
      <c r="AR93" s="407"/>
      <c r="AS93" s="408" t="str">
        <f>IF(ISERROR(AR93/(AR10+AR14)),"",AR93/(AR10+AR14))</f>
        <v/>
      </c>
      <c r="AT93" s="407">
        <f t="shared" si="115"/>
        <v>0</v>
      </c>
      <c r="AU93" s="133"/>
      <c r="AV93" s="469"/>
      <c r="AW93" s="406" t="str">
        <f>IF(ISERROR(AV93/(AV10+AV14)),"",AV93/(AV10+AV14))</f>
        <v/>
      </c>
      <c r="AX93" s="407"/>
      <c r="AY93" s="408" t="str">
        <f>IF(ISERROR(AX93/(AX10+AX14)),"",AX93/(AX10+AX14))</f>
        <v/>
      </c>
      <c r="AZ93" s="407">
        <f t="shared" si="116"/>
        <v>0</v>
      </c>
      <c r="BA93" s="133"/>
      <c r="BB93" s="469"/>
      <c r="BC93" s="406" t="str">
        <f>IF(ISERROR(BB93/(BB10+BB14)),"",BB93/(BB10+BB14))</f>
        <v/>
      </c>
      <c r="BD93" s="407"/>
      <c r="BE93" s="408" t="str">
        <f>IF(ISERROR(BD93/(BD10+BD14)),"",BD93/(BD10+BD14))</f>
        <v/>
      </c>
      <c r="BF93" s="407">
        <f t="shared" si="117"/>
        <v>0</v>
      </c>
      <c r="BG93" s="133"/>
      <c r="BH93" s="256">
        <f t="shared" si="61"/>
        <v>0</v>
      </c>
      <c r="BI93" s="306" t="str">
        <f>IF(ISERROR(BH93/(BH10+BH14)),"",BH93/(BH10+BH14))</f>
        <v/>
      </c>
      <c r="BJ93" s="257">
        <f t="shared" si="62"/>
        <v>0</v>
      </c>
      <c r="BK93" s="306" t="str">
        <f>IF(ISERROR(BJ93/(BJ10+BJ14)),"",BJ93/(BJ10+BJ14))</f>
        <v/>
      </c>
      <c r="BL93" s="257">
        <f t="shared" si="104"/>
        <v>0</v>
      </c>
      <c r="BM93" s="133"/>
      <c r="BN93" s="99"/>
      <c r="BO93" s="469"/>
      <c r="BP93" s="406" t="str">
        <f>IF(ISERROR(BO93/(BO10+BO14)),"",BO93/(BO10+BO14))</f>
        <v/>
      </c>
      <c r="BQ93" s="407"/>
      <c r="BR93" s="408" t="str">
        <f>IF(ISERROR(BQ93/(BQ10+BQ14)),"",BQ93/(BQ10+BQ14))</f>
        <v/>
      </c>
      <c r="BS93" s="407">
        <f t="shared" si="118"/>
        <v>0</v>
      </c>
      <c r="BT93" s="133"/>
      <c r="BU93" s="469"/>
      <c r="BV93" s="406" t="str">
        <f>IF(ISERROR(BU93/(BU10+BU14)),"",BU93/(BU10+BU14))</f>
        <v/>
      </c>
      <c r="BW93" s="407"/>
      <c r="BX93" s="408" t="str">
        <f>IF(ISERROR(BW93/(BW10+BW14)),"",BW93/(BW10+BW14))</f>
        <v/>
      </c>
      <c r="BY93" s="407">
        <f t="shared" si="119"/>
        <v>0</v>
      </c>
      <c r="BZ93" s="133"/>
      <c r="CA93" s="469"/>
      <c r="CB93" s="406" t="str">
        <f>IF(ISERROR(CA93/(CA10+CA14)),"",CA93/(CA10+CA14))</f>
        <v/>
      </c>
      <c r="CC93" s="407"/>
      <c r="CD93" s="408" t="str">
        <f>IF(ISERROR(CC93/(CC10+CC14)),"",CC93/(CC10+CC14))</f>
        <v/>
      </c>
      <c r="CE93" s="407">
        <f t="shared" si="120"/>
        <v>0</v>
      </c>
      <c r="CF93" s="133"/>
      <c r="CG93" s="256">
        <f t="shared" si="67"/>
        <v>0</v>
      </c>
      <c r="CH93" s="306" t="str">
        <f>IF(ISERROR(CG93/(CG10+CG14)),"",CG93/(CG10+CG14))</f>
        <v/>
      </c>
      <c r="CI93" s="257">
        <f t="shared" si="68"/>
        <v>0</v>
      </c>
      <c r="CJ93" s="306" t="str">
        <f>IF(ISERROR(CI93/(CI10+CI14)),"",CI93/(CI10+CI14))</f>
        <v/>
      </c>
      <c r="CK93" s="257">
        <f t="shared" si="108"/>
        <v>0</v>
      </c>
      <c r="CL93" s="133"/>
      <c r="CM93" s="100"/>
      <c r="CN93" s="469"/>
      <c r="CO93" s="406" t="str">
        <f>IF(ISERROR(CN93/(CN10+CN14)),"",CN93/(CN10+CN14))</f>
        <v/>
      </c>
      <c r="CP93" s="407"/>
      <c r="CQ93" s="408" t="str">
        <f>IF(ISERROR(CP93/(CP10+CP14)),"",CP93/(CP10+CP14))</f>
        <v/>
      </c>
      <c r="CR93" s="407">
        <f t="shared" si="121"/>
        <v>0</v>
      </c>
      <c r="CS93" s="133"/>
      <c r="CT93" s="469"/>
      <c r="CU93" s="406" t="str">
        <f>IF(ISERROR(CT93/(CT10+CT14)),"",CT93/(CT10+CT14))</f>
        <v/>
      </c>
      <c r="CV93" s="407"/>
      <c r="CW93" s="408" t="str">
        <f>IF(ISERROR(CV93/(CV10+CV14)),"",CV93/(CV10+CV14))</f>
        <v/>
      </c>
      <c r="CX93" s="407">
        <f t="shared" si="122"/>
        <v>0</v>
      </c>
      <c r="CY93" s="133"/>
      <c r="CZ93" s="469"/>
      <c r="DA93" s="406" t="str">
        <f>IF(ISERROR(CZ93/(CZ10+CZ14)),"",CZ93/(CZ10+CZ14))</f>
        <v/>
      </c>
      <c r="DB93" s="407"/>
      <c r="DC93" s="408" t="str">
        <f>IF(ISERROR(DB93/(DB10+DB14)),"",DB93/(DB10+DB14))</f>
        <v/>
      </c>
      <c r="DD93" s="407">
        <f t="shared" si="123"/>
        <v>0</v>
      </c>
      <c r="DE93" s="133"/>
      <c r="DF93" s="256">
        <f t="shared" si="73"/>
        <v>0</v>
      </c>
      <c r="DG93" s="306" t="str">
        <f>IF(ISERROR(DF93/(DF10+DF14)),"",DF93/(DF10+DF14))</f>
        <v/>
      </c>
      <c r="DH93" s="257">
        <f t="shared" si="74"/>
        <v>0</v>
      </c>
      <c r="DI93" s="306" t="str">
        <f>IF(ISERROR(DH93/(DH10+DH14)),"",DH93/(DH10+DH14))</f>
        <v/>
      </c>
      <c r="DJ93" s="257">
        <f t="shared" si="112"/>
        <v>0</v>
      </c>
      <c r="DK93" s="21"/>
    </row>
    <row r="94" spans="1:115" s="3" customFormat="1" ht="21.75" customHeight="1" outlineLevel="1" thickBot="1" x14ac:dyDescent="0.3">
      <c r="A94" s="80">
        <v>85</v>
      </c>
      <c r="B94" s="618"/>
      <c r="C94" s="761"/>
      <c r="D94" s="593" t="s">
        <v>93</v>
      </c>
      <c r="E94" s="594"/>
      <c r="F94" s="594"/>
      <c r="G94" s="594"/>
      <c r="H94" s="594"/>
      <c r="I94" s="595"/>
      <c r="J94" s="258">
        <f t="shared" si="93"/>
        <v>0</v>
      </c>
      <c r="K94" s="279" t="str">
        <f>IF(ISERROR(J94/(J10+J14)),"",J94/(J10+J14))</f>
        <v/>
      </c>
      <c r="L94" s="259">
        <f t="shared" si="94"/>
        <v>0</v>
      </c>
      <c r="M94" s="279" t="str">
        <f>IF(ISERROR(L94/(L10+L14)),"",L94/(L10+L14))</f>
        <v/>
      </c>
      <c r="N94" s="221">
        <f t="shared" si="49"/>
        <v>0</v>
      </c>
      <c r="O94" s="60" t="e">
        <f t="shared" si="95"/>
        <v>#VALUE!</v>
      </c>
      <c r="P94" s="47"/>
      <c r="Q94" s="470">
        <v>0</v>
      </c>
      <c r="R94" s="409" t="str">
        <f>IF(ISERROR(Q94/(Q10+Q14)),"",Q94/(Q10+Q14))</f>
        <v/>
      </c>
      <c r="S94" s="381"/>
      <c r="T94" s="382" t="str">
        <f>IF(ISERROR(S94/(S10+S14)),"",S94/(S10+S14))</f>
        <v/>
      </c>
      <c r="U94" s="381">
        <f t="shared" si="96"/>
        <v>0</v>
      </c>
      <c r="V94" s="135"/>
      <c r="W94" s="470">
        <v>0</v>
      </c>
      <c r="X94" s="409" t="str">
        <f>IF(ISERROR(W94/(W10+W14)),"",W94/(W10+W14))</f>
        <v/>
      </c>
      <c r="Y94" s="381"/>
      <c r="Z94" s="382" t="str">
        <f>IF(ISERROR(Y94/(Y10+Y14)),"",Y94/(Y10+Y14))</f>
        <v/>
      </c>
      <c r="AA94" s="381">
        <f t="shared" si="113"/>
        <v>0</v>
      </c>
      <c r="AB94" s="135"/>
      <c r="AC94" s="470">
        <v>0</v>
      </c>
      <c r="AD94" s="409" t="str">
        <f>IF(ISERROR(AC94/(AC10+AC14)),"",AC94/(AC10+AC14))</f>
        <v/>
      </c>
      <c r="AE94" s="381"/>
      <c r="AF94" s="382" t="str">
        <f>IF(ISERROR(AE94/(AE10+AE14)),"",AE94/(AE10+AE14))</f>
        <v/>
      </c>
      <c r="AG94" s="381">
        <f t="shared" si="114"/>
        <v>0</v>
      </c>
      <c r="AH94" s="134" t="e">
        <f t="shared" si="99"/>
        <v>#VALUE!</v>
      </c>
      <c r="AI94" s="258">
        <f t="shared" si="55"/>
        <v>0</v>
      </c>
      <c r="AJ94" s="279" t="str">
        <f>IF(ISERROR(AI94/(AI10+AI14)),"",AI94/(AI10+AI14))</f>
        <v/>
      </c>
      <c r="AK94" s="259">
        <f t="shared" si="56"/>
        <v>0</v>
      </c>
      <c r="AL94" s="279" t="str">
        <f>IF(ISERROR(AK94/(AK10+AK14)),"",AK94/(AK10+AK14))</f>
        <v/>
      </c>
      <c r="AM94" s="259">
        <f t="shared" si="100"/>
        <v>0</v>
      </c>
      <c r="AN94" s="135"/>
      <c r="AO94" s="99"/>
      <c r="AP94" s="470">
        <v>0</v>
      </c>
      <c r="AQ94" s="409" t="str">
        <f>IF(ISERROR(AP94/(AP10+AP14)),"",AP94/(AP10+AP14))</f>
        <v/>
      </c>
      <c r="AR94" s="381"/>
      <c r="AS94" s="382" t="str">
        <f>IF(ISERROR(AR94/(AR10+AR14)),"",AR94/(AR10+AR14))</f>
        <v/>
      </c>
      <c r="AT94" s="381">
        <f t="shared" si="115"/>
        <v>0</v>
      </c>
      <c r="AU94" s="135"/>
      <c r="AV94" s="470">
        <v>0</v>
      </c>
      <c r="AW94" s="409" t="str">
        <f>IF(ISERROR(AV94/(AV10+AV14)),"",AV94/(AV10+AV14))</f>
        <v/>
      </c>
      <c r="AX94" s="381"/>
      <c r="AY94" s="382" t="str">
        <f>IF(ISERROR(AX94/(AX10+AX14)),"",AX94/(AX10+AX14))</f>
        <v/>
      </c>
      <c r="AZ94" s="381">
        <f t="shared" si="116"/>
        <v>0</v>
      </c>
      <c r="BA94" s="135"/>
      <c r="BB94" s="470">
        <v>0</v>
      </c>
      <c r="BC94" s="409" t="str">
        <f>IF(ISERROR(BB94/(BB10+BB14)),"",BB94/(BB10+BB14))</f>
        <v/>
      </c>
      <c r="BD94" s="381"/>
      <c r="BE94" s="382" t="str">
        <f>IF(ISERROR(BD94/(BD10+BD14)),"",BD94/(BD10+BD14))</f>
        <v/>
      </c>
      <c r="BF94" s="381">
        <f t="shared" si="117"/>
        <v>0</v>
      </c>
      <c r="BG94" s="135"/>
      <c r="BH94" s="258">
        <f t="shared" si="61"/>
        <v>0</v>
      </c>
      <c r="BI94" s="279" t="str">
        <f>IF(ISERROR(BH94/(BH10+BH14)),"",BH94/(BH10+BH14))</f>
        <v/>
      </c>
      <c r="BJ94" s="259">
        <f t="shared" si="62"/>
        <v>0</v>
      </c>
      <c r="BK94" s="279" t="str">
        <f>IF(ISERROR(BJ94/(BJ10+BJ14)),"",BJ94/(BJ10+BJ14))</f>
        <v/>
      </c>
      <c r="BL94" s="259">
        <f t="shared" si="104"/>
        <v>0</v>
      </c>
      <c r="BM94" s="135"/>
      <c r="BN94" s="99"/>
      <c r="BO94" s="470">
        <v>0</v>
      </c>
      <c r="BP94" s="409" t="str">
        <f>IF(ISERROR(BO94/(BO10+BO14)),"",BO94/(BO10+BO14))</f>
        <v/>
      </c>
      <c r="BQ94" s="381"/>
      <c r="BR94" s="382" t="str">
        <f>IF(ISERROR(BQ94/(BQ10+BQ14)),"",BQ94/(BQ10+BQ14))</f>
        <v/>
      </c>
      <c r="BS94" s="381">
        <f t="shared" si="118"/>
        <v>0</v>
      </c>
      <c r="BT94" s="135"/>
      <c r="BU94" s="470">
        <v>0</v>
      </c>
      <c r="BV94" s="409" t="str">
        <f>IF(ISERROR(BU94/(BU10+BU14)),"",BU94/(BU10+BU14))</f>
        <v/>
      </c>
      <c r="BW94" s="381"/>
      <c r="BX94" s="382" t="str">
        <f>IF(ISERROR(BW94/(BW10+BW14)),"",BW94/(BW10+BW14))</f>
        <v/>
      </c>
      <c r="BY94" s="381">
        <f t="shared" si="119"/>
        <v>0</v>
      </c>
      <c r="BZ94" s="135"/>
      <c r="CA94" s="470">
        <v>0</v>
      </c>
      <c r="CB94" s="409" t="str">
        <f>IF(ISERROR(CA94/(CA10+CA14)),"",CA94/(CA10+CA14))</f>
        <v/>
      </c>
      <c r="CC94" s="381"/>
      <c r="CD94" s="382" t="str">
        <f>IF(ISERROR(CC94/(CC10+CC14)),"",CC94/(CC10+CC14))</f>
        <v/>
      </c>
      <c r="CE94" s="381">
        <f t="shared" si="120"/>
        <v>0</v>
      </c>
      <c r="CF94" s="135"/>
      <c r="CG94" s="258">
        <f t="shared" si="67"/>
        <v>0</v>
      </c>
      <c r="CH94" s="279" t="str">
        <f>IF(ISERROR(CG94/(CG10+CG14)),"",CG94/(CG10+CG14))</f>
        <v/>
      </c>
      <c r="CI94" s="259">
        <f t="shared" si="68"/>
        <v>0</v>
      </c>
      <c r="CJ94" s="279" t="str">
        <f>IF(ISERROR(CI94/(CI10+CI14)),"",CI94/(CI10+CI14))</f>
        <v/>
      </c>
      <c r="CK94" s="259">
        <f t="shared" si="108"/>
        <v>0</v>
      </c>
      <c r="CL94" s="135"/>
      <c r="CM94" s="100"/>
      <c r="CN94" s="470">
        <v>0</v>
      </c>
      <c r="CO94" s="409" t="str">
        <f>IF(ISERROR(CN94/(CN10+CN14)),"",CN94/(CN10+CN14))</f>
        <v/>
      </c>
      <c r="CP94" s="381"/>
      <c r="CQ94" s="382" t="str">
        <f>IF(ISERROR(CP94/(CP10+CP14)),"",CP94/(CP10+CP14))</f>
        <v/>
      </c>
      <c r="CR94" s="381">
        <f t="shared" si="121"/>
        <v>0</v>
      </c>
      <c r="CS94" s="135"/>
      <c r="CT94" s="470">
        <v>0</v>
      </c>
      <c r="CU94" s="409" t="str">
        <f>IF(ISERROR(CT94/(CT10+CT14)),"",CT94/(CT10+CT14))</f>
        <v/>
      </c>
      <c r="CV94" s="381"/>
      <c r="CW94" s="382" t="str">
        <f>IF(ISERROR(CV94/(CV10+CV14)),"",CV94/(CV10+CV14))</f>
        <v/>
      </c>
      <c r="CX94" s="381">
        <f t="shared" si="122"/>
        <v>0</v>
      </c>
      <c r="CY94" s="135"/>
      <c r="CZ94" s="470">
        <v>0</v>
      </c>
      <c r="DA94" s="409" t="str">
        <f>IF(ISERROR(CZ94/(CZ10+CZ14)),"",CZ94/(CZ10+CZ14))</f>
        <v/>
      </c>
      <c r="DB94" s="381"/>
      <c r="DC94" s="382" t="str">
        <f>IF(ISERROR(DB94/(DB10+DB14)),"",DB94/(DB10+DB14))</f>
        <v/>
      </c>
      <c r="DD94" s="381">
        <f t="shared" si="123"/>
        <v>0</v>
      </c>
      <c r="DE94" s="135"/>
      <c r="DF94" s="258">
        <f t="shared" si="73"/>
        <v>0</v>
      </c>
      <c r="DG94" s="279" t="str">
        <f>IF(ISERROR(DF94/(DF10+DF14)),"",DF94/(DF10+DF14))</f>
        <v/>
      </c>
      <c r="DH94" s="259">
        <f t="shared" si="74"/>
        <v>0</v>
      </c>
      <c r="DI94" s="279" t="str">
        <f>IF(ISERROR(DH94/(DH10+DH14)),"",DH94/(DH10+DH14))</f>
        <v/>
      </c>
      <c r="DJ94" s="259">
        <f t="shared" si="112"/>
        <v>0</v>
      </c>
      <c r="DK94" s="22"/>
    </row>
    <row r="95" spans="1:115" s="3" customFormat="1" ht="21.75" customHeight="1" outlineLevel="1" thickTop="1" thickBot="1" x14ac:dyDescent="0.3">
      <c r="A95" s="80">
        <v>86</v>
      </c>
      <c r="B95" s="618"/>
      <c r="C95" s="759"/>
      <c r="D95" s="596" t="s">
        <v>38</v>
      </c>
      <c r="E95" s="597"/>
      <c r="F95" s="597"/>
      <c r="G95" s="597"/>
      <c r="H95" s="597"/>
      <c r="I95" s="598"/>
      <c r="J95" s="260">
        <f t="shared" si="93"/>
        <v>0</v>
      </c>
      <c r="K95" s="282" t="str">
        <f>IF(ISERROR(J95/J153),"",J95/J153)</f>
        <v/>
      </c>
      <c r="L95" s="261">
        <f t="shared" si="94"/>
        <v>0</v>
      </c>
      <c r="M95" s="282" t="str">
        <f>IF(ISERROR(L95/L153),"",L95/L153)</f>
        <v/>
      </c>
      <c r="N95" s="222">
        <f t="shared" si="49"/>
        <v>0</v>
      </c>
      <c r="O95" s="61" t="e">
        <f t="shared" si="95"/>
        <v>#VALUE!</v>
      </c>
      <c r="P95" s="47"/>
      <c r="Q95" s="410">
        <f>SUM(Q31,Q57,Q85,Q93:Q94)</f>
        <v>0</v>
      </c>
      <c r="R95" s="372" t="str">
        <f>IF(ISERROR(Q95/Q153),"",Q95/Q153)</f>
        <v/>
      </c>
      <c r="S95" s="411">
        <f>SUM(S31,S57,S85,S93:S94)</f>
        <v>0</v>
      </c>
      <c r="T95" s="372" t="str">
        <f>IF(ISERROR(S95/S153),"",S95/S153)</f>
        <v/>
      </c>
      <c r="U95" s="411">
        <f t="shared" si="96"/>
        <v>0</v>
      </c>
      <c r="V95" s="137"/>
      <c r="W95" s="410">
        <f>SUM(W31,W57,W85,W93:W94)</f>
        <v>0</v>
      </c>
      <c r="X95" s="372" t="str">
        <f>IF(ISERROR(W95/W153),"",W95/W153)</f>
        <v/>
      </c>
      <c r="Y95" s="411">
        <f>SUM(Y31,Y57,Y85,Y93:Y94)</f>
        <v>0</v>
      </c>
      <c r="Z95" s="372" t="str">
        <f>IF(ISERROR(Y95/Y153),"",Y95/Y153)</f>
        <v/>
      </c>
      <c r="AA95" s="411">
        <f t="shared" si="113"/>
        <v>0</v>
      </c>
      <c r="AB95" s="137"/>
      <c r="AC95" s="410">
        <f>SUM(AC31,AC57,AC85,AC93:AC94)</f>
        <v>0</v>
      </c>
      <c r="AD95" s="372" t="str">
        <f>IF(ISERROR(AC95/AC153),"",AC95/AC153)</f>
        <v/>
      </c>
      <c r="AE95" s="411">
        <f>SUM(AE31,AE57,AE85,AE93:AE94)</f>
        <v>0</v>
      </c>
      <c r="AF95" s="372" t="str">
        <f>IF(ISERROR(AE95/AE153),"",AE95/AE153)</f>
        <v/>
      </c>
      <c r="AG95" s="411">
        <f t="shared" si="114"/>
        <v>0</v>
      </c>
      <c r="AH95" s="136" t="e">
        <f t="shared" si="99"/>
        <v>#VALUE!</v>
      </c>
      <c r="AI95" s="260">
        <f t="shared" si="55"/>
        <v>0</v>
      </c>
      <c r="AJ95" s="282" t="str">
        <f>IF(ISERROR(AI95/AI153),"",AI95/AI153)</f>
        <v/>
      </c>
      <c r="AK95" s="261">
        <f t="shared" si="56"/>
        <v>0</v>
      </c>
      <c r="AL95" s="282" t="str">
        <f>IF(ISERROR(AK95/AK153),"",AK95/AK153)</f>
        <v/>
      </c>
      <c r="AM95" s="261">
        <f t="shared" si="100"/>
        <v>0</v>
      </c>
      <c r="AN95" s="137"/>
      <c r="AO95" s="99"/>
      <c r="AP95" s="410">
        <f>SUM(AP31,AP57,AP85,AP93:AP94)</f>
        <v>0</v>
      </c>
      <c r="AQ95" s="372" t="str">
        <f>IF(ISERROR(AP95/AP153),"",AP95/AP153)</f>
        <v/>
      </c>
      <c r="AR95" s="411">
        <f>SUM(AR31,AR57,AR85,AR93:AR94)</f>
        <v>0</v>
      </c>
      <c r="AS95" s="372" t="str">
        <f>IF(ISERROR(AR95/AR153),"",AR95/AR153)</f>
        <v/>
      </c>
      <c r="AT95" s="411">
        <f t="shared" si="115"/>
        <v>0</v>
      </c>
      <c r="AU95" s="137"/>
      <c r="AV95" s="410">
        <f>SUM(AV31,AV57,AV85,AV93:AV94)</f>
        <v>0</v>
      </c>
      <c r="AW95" s="372" t="str">
        <f>IF(ISERROR(AV95/AV153),"",AV95/AV153)</f>
        <v/>
      </c>
      <c r="AX95" s="411">
        <f>SUM(AX31,AX57,AX85,AX93:AX94)</f>
        <v>0</v>
      </c>
      <c r="AY95" s="372" t="str">
        <f>IF(ISERROR(AX95/AX153),"",AX95/AX153)</f>
        <v/>
      </c>
      <c r="AZ95" s="411">
        <f t="shared" si="116"/>
        <v>0</v>
      </c>
      <c r="BA95" s="137"/>
      <c r="BB95" s="410">
        <f>SUM(BB31,BB57,BB85,BB93:BB94)</f>
        <v>0</v>
      </c>
      <c r="BC95" s="372" t="str">
        <f>IF(ISERROR(BB95/BB153),"",BB95/BB153)</f>
        <v/>
      </c>
      <c r="BD95" s="411">
        <f>SUM(BD31,BD57,BD85,BD93:BD94)</f>
        <v>0</v>
      </c>
      <c r="BE95" s="372" t="str">
        <f>IF(ISERROR(BD95/BD153),"",BD95/BD153)</f>
        <v/>
      </c>
      <c r="BF95" s="411">
        <f t="shared" si="117"/>
        <v>0</v>
      </c>
      <c r="BG95" s="137"/>
      <c r="BH95" s="260">
        <f t="shared" si="61"/>
        <v>0</v>
      </c>
      <c r="BI95" s="282" t="str">
        <f>IF(ISERROR(BH95/BH153),"",BH95/BH153)</f>
        <v/>
      </c>
      <c r="BJ95" s="261">
        <f t="shared" si="62"/>
        <v>0</v>
      </c>
      <c r="BK95" s="282" t="str">
        <f>IF(ISERROR(BJ95/BJ153),"",BJ95/BJ153)</f>
        <v/>
      </c>
      <c r="BL95" s="261">
        <f t="shared" si="104"/>
        <v>0</v>
      </c>
      <c r="BM95" s="137"/>
      <c r="BN95" s="99"/>
      <c r="BO95" s="410">
        <f>SUM(BO31,BO57,BO85,BO93:BO94)</f>
        <v>0</v>
      </c>
      <c r="BP95" s="372" t="str">
        <f>IF(ISERROR(BO95/BO153),"",BO95/BO153)</f>
        <v/>
      </c>
      <c r="BQ95" s="411">
        <f>SUM(BQ31,BQ57,BQ85,BQ93:BQ94)</f>
        <v>0</v>
      </c>
      <c r="BR95" s="372" t="str">
        <f>IF(ISERROR(BQ95/BQ153),"",BQ95/BQ153)</f>
        <v/>
      </c>
      <c r="BS95" s="411">
        <f t="shared" si="118"/>
        <v>0</v>
      </c>
      <c r="BT95" s="137"/>
      <c r="BU95" s="410">
        <f>SUM(BU31,BU57,BU85,BU93:BU94)</f>
        <v>0</v>
      </c>
      <c r="BV95" s="372" t="str">
        <f>IF(ISERROR(BU95/BU153),"",BU95/BU153)</f>
        <v/>
      </c>
      <c r="BW95" s="411">
        <f>SUM(BW31,BW57,BW85,BW93:BW94)</f>
        <v>0</v>
      </c>
      <c r="BX95" s="372" t="str">
        <f>IF(ISERROR(BW95/BW153),"",BW95/BW153)</f>
        <v/>
      </c>
      <c r="BY95" s="411">
        <f t="shared" si="119"/>
        <v>0</v>
      </c>
      <c r="BZ95" s="137"/>
      <c r="CA95" s="410">
        <f>SUM(CA31,CA57,CA85,CA93:CA94)</f>
        <v>0</v>
      </c>
      <c r="CB95" s="372" t="str">
        <f>IF(ISERROR(CA95/CA153),"",CA95/CA153)</f>
        <v/>
      </c>
      <c r="CC95" s="411">
        <f>SUM(CC31,CC57,CC85,CC93:CC94)</f>
        <v>0</v>
      </c>
      <c r="CD95" s="372" t="str">
        <f>IF(ISERROR(CC95/CC153),"",CC95/CC153)</f>
        <v/>
      </c>
      <c r="CE95" s="411">
        <f t="shared" si="120"/>
        <v>0</v>
      </c>
      <c r="CF95" s="137"/>
      <c r="CG95" s="260">
        <f t="shared" si="67"/>
        <v>0</v>
      </c>
      <c r="CH95" s="282" t="str">
        <f>IF(ISERROR(CG95/CG153),"",CG95/CG153)</f>
        <v/>
      </c>
      <c r="CI95" s="261">
        <f t="shared" si="68"/>
        <v>0</v>
      </c>
      <c r="CJ95" s="282" t="str">
        <f>IF(ISERROR(CI95/CI153),"",CI95/CI153)</f>
        <v/>
      </c>
      <c r="CK95" s="261">
        <f t="shared" si="108"/>
        <v>0</v>
      </c>
      <c r="CL95" s="137"/>
      <c r="CM95" s="100"/>
      <c r="CN95" s="410">
        <f>SUM(CN31,CN57,CN85,CN93:CN94)</f>
        <v>0</v>
      </c>
      <c r="CO95" s="372" t="str">
        <f>IF(ISERROR(CN95/CN153),"",CN95/CN153)</f>
        <v/>
      </c>
      <c r="CP95" s="411">
        <f>SUM(CP31,CP57,CP85,CP93:CP94)</f>
        <v>0</v>
      </c>
      <c r="CQ95" s="372" t="str">
        <f>IF(ISERROR(CP95/CP153),"",CP95/CP153)</f>
        <v/>
      </c>
      <c r="CR95" s="411">
        <f t="shared" si="121"/>
        <v>0</v>
      </c>
      <c r="CS95" s="137"/>
      <c r="CT95" s="410">
        <f>SUM(CT31,CT57,CT85,CT93:CT94)</f>
        <v>0</v>
      </c>
      <c r="CU95" s="372" t="str">
        <f>IF(ISERROR(CT95/CT153),"",CT95/CT153)</f>
        <v/>
      </c>
      <c r="CV95" s="411">
        <f>SUM(CV31,CV57,CV85,CV93:CV94)</f>
        <v>0</v>
      </c>
      <c r="CW95" s="372" t="str">
        <f>IF(ISERROR(CV95/CV153),"",CV95/CV153)</f>
        <v/>
      </c>
      <c r="CX95" s="411">
        <f t="shared" si="122"/>
        <v>0</v>
      </c>
      <c r="CY95" s="137"/>
      <c r="CZ95" s="410">
        <f>SUM(CZ31,CZ57,CZ85,CZ93:CZ94)</f>
        <v>0</v>
      </c>
      <c r="DA95" s="372" t="str">
        <f>IF(ISERROR(CZ95/CZ153),"",CZ95/CZ153)</f>
        <v/>
      </c>
      <c r="DB95" s="411">
        <f>SUM(DB31,DB57,DB85,DB93:DB94)</f>
        <v>0</v>
      </c>
      <c r="DC95" s="372" t="str">
        <f>IF(ISERROR(DB95/DB153),"",DB95/DB153)</f>
        <v/>
      </c>
      <c r="DD95" s="411">
        <f t="shared" si="123"/>
        <v>0</v>
      </c>
      <c r="DE95" s="137"/>
      <c r="DF95" s="260">
        <f t="shared" si="73"/>
        <v>0</v>
      </c>
      <c r="DG95" s="282" t="str">
        <f>IF(ISERROR(DF95/DF153),"",DF95/DF153)</f>
        <v/>
      </c>
      <c r="DH95" s="261">
        <f t="shared" si="74"/>
        <v>0</v>
      </c>
      <c r="DI95" s="282" t="str">
        <f>IF(ISERROR(DH95/DH153),"",DH95/DH153)</f>
        <v/>
      </c>
      <c r="DJ95" s="261">
        <f t="shared" si="112"/>
        <v>0</v>
      </c>
      <c r="DK95" s="23"/>
    </row>
    <row r="96" spans="1:115" s="3" customFormat="1" ht="21.75" customHeight="1" thickBot="1" x14ac:dyDescent="0.3">
      <c r="A96" s="80">
        <v>87</v>
      </c>
      <c r="B96" s="759"/>
      <c r="C96" s="599" t="s">
        <v>37</v>
      </c>
      <c r="D96" s="600"/>
      <c r="E96" s="600"/>
      <c r="F96" s="600"/>
      <c r="G96" s="600"/>
      <c r="H96" s="600"/>
      <c r="I96" s="601"/>
      <c r="J96" s="262">
        <f t="shared" si="93"/>
        <v>0</v>
      </c>
      <c r="K96" s="283" t="str">
        <f>IF(ISERROR(J96/J153),"",J96/J153)</f>
        <v/>
      </c>
      <c r="L96" s="263">
        <f t="shared" si="94"/>
        <v>0</v>
      </c>
      <c r="M96" s="283" t="str">
        <f>IF(ISERROR(L96/L153),"",L96/L153)</f>
        <v/>
      </c>
      <c r="N96" s="223">
        <f t="shared" si="49"/>
        <v>0</v>
      </c>
      <c r="O96" s="62" t="e">
        <f t="shared" si="95"/>
        <v>#VALUE!</v>
      </c>
      <c r="P96" s="47"/>
      <c r="Q96" s="412">
        <f>SUM(Q38,Q64,Q92,Q93:Q94)</f>
        <v>0</v>
      </c>
      <c r="R96" s="413" t="str">
        <f>IF(ISERROR(Q96/Q153),"",Q96/Q153)</f>
        <v/>
      </c>
      <c r="S96" s="414">
        <f>SUM(S38,S64,S92,S93:S94)</f>
        <v>0</v>
      </c>
      <c r="T96" s="413" t="str">
        <f>IF(ISERROR(S96/S153),"",S96/S153)</f>
        <v/>
      </c>
      <c r="U96" s="414">
        <f t="shared" si="96"/>
        <v>0</v>
      </c>
      <c r="V96" s="139"/>
      <c r="W96" s="412">
        <f>SUM(W38,W64,W92,W93:W94)</f>
        <v>0</v>
      </c>
      <c r="X96" s="413" t="str">
        <f>IF(ISERROR(W96/W153),"",W96/W153)</f>
        <v/>
      </c>
      <c r="Y96" s="414">
        <f>SUM(Y38,Y64,Y92,Y93:Y94)</f>
        <v>0</v>
      </c>
      <c r="Z96" s="413" t="str">
        <f>IF(ISERROR(Y96/Y153),"",Y96/Y153)</f>
        <v/>
      </c>
      <c r="AA96" s="414">
        <f t="shared" si="113"/>
        <v>0</v>
      </c>
      <c r="AB96" s="139"/>
      <c r="AC96" s="412">
        <f>SUM(AC38,AC64,AC92,AC93:AC94)</f>
        <v>0</v>
      </c>
      <c r="AD96" s="413" t="str">
        <f>IF(ISERROR(AC96/AC153),"",AC96/AC153)</f>
        <v/>
      </c>
      <c r="AE96" s="414">
        <f>SUM(AE38,AE64,AE92,AE93:AE94)</f>
        <v>0</v>
      </c>
      <c r="AF96" s="413" t="str">
        <f>IF(ISERROR(AE96/AE153),"",AE96/AE153)</f>
        <v/>
      </c>
      <c r="AG96" s="414">
        <f t="shared" si="114"/>
        <v>0</v>
      </c>
      <c r="AH96" s="138" t="e">
        <f t="shared" si="99"/>
        <v>#VALUE!</v>
      </c>
      <c r="AI96" s="262">
        <f t="shared" si="55"/>
        <v>0</v>
      </c>
      <c r="AJ96" s="283" t="str">
        <f>IF(ISERROR(AI96/AI153),"",AI96/AI153)</f>
        <v/>
      </c>
      <c r="AK96" s="263">
        <f t="shared" si="56"/>
        <v>0</v>
      </c>
      <c r="AL96" s="283" t="str">
        <f>IF(ISERROR(AK96/AK153),"",AK96/AK153)</f>
        <v/>
      </c>
      <c r="AM96" s="263">
        <f t="shared" si="100"/>
        <v>0</v>
      </c>
      <c r="AN96" s="139"/>
      <c r="AO96" s="99"/>
      <c r="AP96" s="412">
        <f>SUM(AP38,AP64,AP92,AP93:AP94)</f>
        <v>0</v>
      </c>
      <c r="AQ96" s="413" t="str">
        <f>IF(ISERROR(AP96/AP153),"",AP96/AP153)</f>
        <v/>
      </c>
      <c r="AR96" s="414">
        <f>SUM(AR38,AR64,AR92,AR93:AR94)</f>
        <v>0</v>
      </c>
      <c r="AS96" s="413" t="str">
        <f>IF(ISERROR(AR96/AR153),"",AR96/AR153)</f>
        <v/>
      </c>
      <c r="AT96" s="414">
        <f t="shared" si="115"/>
        <v>0</v>
      </c>
      <c r="AU96" s="139"/>
      <c r="AV96" s="412">
        <f>SUM(AV38,AV64,AV92,AV93:AV94)</f>
        <v>0</v>
      </c>
      <c r="AW96" s="413" t="str">
        <f>IF(ISERROR(AV96/AV153),"",AV96/AV153)</f>
        <v/>
      </c>
      <c r="AX96" s="414">
        <f>SUM(AX38,AX64,AX92,AX93:AX94)</f>
        <v>0</v>
      </c>
      <c r="AY96" s="413" t="str">
        <f>IF(ISERROR(AX96/AX153),"",AX96/AX153)</f>
        <v/>
      </c>
      <c r="AZ96" s="414">
        <f t="shared" si="116"/>
        <v>0</v>
      </c>
      <c r="BA96" s="139"/>
      <c r="BB96" s="412">
        <f>SUM(BB38,BB64,BB92,BB93:BB94)</f>
        <v>0</v>
      </c>
      <c r="BC96" s="413" t="str">
        <f>IF(ISERROR(BB96/BB153),"",BB96/BB153)</f>
        <v/>
      </c>
      <c r="BD96" s="414">
        <f>SUM(BD38,BD64,BD92,BD93:BD94)</f>
        <v>0</v>
      </c>
      <c r="BE96" s="413" t="str">
        <f>IF(ISERROR(BD96/BD153),"",BD96/BD153)</f>
        <v/>
      </c>
      <c r="BF96" s="414">
        <f t="shared" si="117"/>
        <v>0</v>
      </c>
      <c r="BG96" s="139"/>
      <c r="BH96" s="262">
        <f t="shared" si="61"/>
        <v>0</v>
      </c>
      <c r="BI96" s="283" t="str">
        <f>IF(ISERROR(BH96/BH153),"",BH96/BH153)</f>
        <v/>
      </c>
      <c r="BJ96" s="263">
        <f t="shared" si="62"/>
        <v>0</v>
      </c>
      <c r="BK96" s="283" t="str">
        <f>IF(ISERROR(BJ96/BJ153),"",BJ96/BJ153)</f>
        <v/>
      </c>
      <c r="BL96" s="263">
        <f t="shared" si="104"/>
        <v>0</v>
      </c>
      <c r="BM96" s="139"/>
      <c r="BN96" s="99"/>
      <c r="BO96" s="412">
        <f>SUM(BO38,BO64,BO92,BO93:BO94)</f>
        <v>0</v>
      </c>
      <c r="BP96" s="413" t="str">
        <f>IF(ISERROR(BO96/BO153),"",BO96/BO153)</f>
        <v/>
      </c>
      <c r="BQ96" s="414">
        <f>SUM(BQ38,BQ64,BQ92,BQ93:BQ94)</f>
        <v>0</v>
      </c>
      <c r="BR96" s="413" t="str">
        <f>IF(ISERROR(BQ96/BQ153),"",BQ96/BQ153)</f>
        <v/>
      </c>
      <c r="BS96" s="414">
        <f t="shared" si="118"/>
        <v>0</v>
      </c>
      <c r="BT96" s="139"/>
      <c r="BU96" s="412">
        <f>SUM(BU38,BU64,BU92,BU93:BU94)</f>
        <v>0</v>
      </c>
      <c r="BV96" s="413" t="str">
        <f>IF(ISERROR(BU96/BU153),"",BU96/BU153)</f>
        <v/>
      </c>
      <c r="BW96" s="414">
        <f>SUM(BW38,BW64,BW92,BW93:BW94)</f>
        <v>0</v>
      </c>
      <c r="BX96" s="413" t="str">
        <f>IF(ISERROR(BW96/BW153),"",BW96/BW153)</f>
        <v/>
      </c>
      <c r="BY96" s="414">
        <f t="shared" si="119"/>
        <v>0</v>
      </c>
      <c r="BZ96" s="139"/>
      <c r="CA96" s="412">
        <f>SUM(CA38,CA64,CA92,CA93:CA94)</f>
        <v>0</v>
      </c>
      <c r="CB96" s="413" t="str">
        <f>IF(ISERROR(CA96/CA153),"",CA96/CA153)</f>
        <v/>
      </c>
      <c r="CC96" s="414">
        <f>SUM(CC38,CC64,CC92,CC93:CC94)</f>
        <v>0</v>
      </c>
      <c r="CD96" s="413" t="str">
        <f>IF(ISERROR(CC96/CC153),"",CC96/CC153)</f>
        <v/>
      </c>
      <c r="CE96" s="414">
        <f t="shared" si="120"/>
        <v>0</v>
      </c>
      <c r="CF96" s="139"/>
      <c r="CG96" s="262">
        <f t="shared" si="67"/>
        <v>0</v>
      </c>
      <c r="CH96" s="283" t="str">
        <f>IF(ISERROR(CG96/CG153),"",CG96/CG153)</f>
        <v/>
      </c>
      <c r="CI96" s="263">
        <f t="shared" si="68"/>
        <v>0</v>
      </c>
      <c r="CJ96" s="283" t="str">
        <f>IF(ISERROR(CI96/CI153),"",CI96/CI153)</f>
        <v/>
      </c>
      <c r="CK96" s="263">
        <f t="shared" si="108"/>
        <v>0</v>
      </c>
      <c r="CL96" s="139"/>
      <c r="CM96" s="100"/>
      <c r="CN96" s="412">
        <f>SUM(CN38,CN64,CN92,CN93:CN94)</f>
        <v>0</v>
      </c>
      <c r="CO96" s="413" t="str">
        <f>IF(ISERROR(CN96/CN153),"",CN96/CN153)</f>
        <v/>
      </c>
      <c r="CP96" s="414">
        <f>SUM(CP38,CP64,CP92,CP93:CP94)</f>
        <v>0</v>
      </c>
      <c r="CQ96" s="413" t="str">
        <f>IF(ISERROR(CP96/CP153),"",CP96/CP153)</f>
        <v/>
      </c>
      <c r="CR96" s="414">
        <f t="shared" si="121"/>
        <v>0</v>
      </c>
      <c r="CS96" s="139"/>
      <c r="CT96" s="412">
        <f>SUM(CT38,CT64,CT92,CT93:CT94)</f>
        <v>0</v>
      </c>
      <c r="CU96" s="413" t="str">
        <f>IF(ISERROR(CT96/CT153),"",CT96/CT153)</f>
        <v/>
      </c>
      <c r="CV96" s="414">
        <f>SUM(CV38,CV64,CV92,CV93:CV94)</f>
        <v>0</v>
      </c>
      <c r="CW96" s="413" t="str">
        <f>IF(ISERROR(CV96/CV153),"",CV96/CV153)</f>
        <v/>
      </c>
      <c r="CX96" s="414">
        <f t="shared" si="122"/>
        <v>0</v>
      </c>
      <c r="CY96" s="139"/>
      <c r="CZ96" s="412">
        <f>SUM(CZ38,CZ64,CZ92,CZ93:CZ94)</f>
        <v>0</v>
      </c>
      <c r="DA96" s="413" t="str">
        <f>IF(ISERROR(CZ96/CZ153),"",CZ96/CZ153)</f>
        <v/>
      </c>
      <c r="DB96" s="414">
        <f>SUM(DB38,DB64,DB92,DB93:DB94)</f>
        <v>0</v>
      </c>
      <c r="DC96" s="413" t="str">
        <f>IF(ISERROR(DB96/DB153),"",DB96/DB153)</f>
        <v/>
      </c>
      <c r="DD96" s="414">
        <f t="shared" si="123"/>
        <v>0</v>
      </c>
      <c r="DE96" s="139"/>
      <c r="DF96" s="262">
        <f t="shared" si="73"/>
        <v>0</v>
      </c>
      <c r="DG96" s="283" t="str">
        <f>IF(ISERROR(DF96/DF153),"",DF96/DF153)</f>
        <v/>
      </c>
      <c r="DH96" s="263">
        <f t="shared" si="74"/>
        <v>0</v>
      </c>
      <c r="DI96" s="283" t="str">
        <f>IF(ISERROR(DH96/DH153),"",DH96/DH153)</f>
        <v/>
      </c>
      <c r="DJ96" s="263">
        <f t="shared" si="112"/>
        <v>0</v>
      </c>
      <c r="DK96" s="24"/>
    </row>
    <row r="97" spans="1:115" s="3" customFormat="1" ht="21.75" customHeight="1" outlineLevel="1" thickTop="1" x14ac:dyDescent="0.25">
      <c r="A97" s="80">
        <v>88</v>
      </c>
      <c r="B97" s="617" t="s">
        <v>94</v>
      </c>
      <c r="C97" s="620" t="s">
        <v>95</v>
      </c>
      <c r="D97" s="621"/>
      <c r="E97" s="606" t="s">
        <v>96</v>
      </c>
      <c r="F97" s="607"/>
      <c r="G97" s="607"/>
      <c r="H97" s="607"/>
      <c r="I97" s="608"/>
      <c r="J97" s="228">
        <f t="shared" si="93"/>
        <v>0</v>
      </c>
      <c r="K97" s="295" t="str">
        <f>IF(ISERROR(J97/J153-J14),"",J97/J153-J14)</f>
        <v/>
      </c>
      <c r="L97" s="229">
        <f t="shared" si="94"/>
        <v>0</v>
      </c>
      <c r="M97" s="295" t="str">
        <f>IF(ISERROR(L97/L153-L14),"",L97/L153-L14)</f>
        <v/>
      </c>
      <c r="N97" s="206">
        <f t="shared" si="49"/>
        <v>0</v>
      </c>
      <c r="O97" s="43" t="e">
        <f t="shared" si="95"/>
        <v>#VALUE!</v>
      </c>
      <c r="P97" s="47"/>
      <c r="Q97" s="487">
        <f>IF(ISERROR(R97*(Q153-Q14)),"",R97*(Q153-Q14))</f>
        <v>0</v>
      </c>
      <c r="R97" s="482"/>
      <c r="S97" s="375"/>
      <c r="T97" s="356" t="str">
        <f>IF(ISERROR(S97/(S153-S14)),"",S97/(S153-S14))</f>
        <v/>
      </c>
      <c r="U97" s="355">
        <f t="shared" si="96"/>
        <v>0</v>
      </c>
      <c r="V97" s="96"/>
      <c r="W97" s="487">
        <f>IF(ISERROR(X97*(W153-W14)),"",X97*(W153-W14))</f>
        <v>0</v>
      </c>
      <c r="X97" s="482"/>
      <c r="Y97" s="375"/>
      <c r="Z97" s="356" t="str">
        <f>IF(ISERROR(Y97/(Y153-Y14)),"",Y97/(Y153-Y14))</f>
        <v/>
      </c>
      <c r="AA97" s="355">
        <f t="shared" si="113"/>
        <v>0</v>
      </c>
      <c r="AB97" s="96"/>
      <c r="AC97" s="487">
        <f>IF(ISERROR(AD97*(AC153-AC14)),"",AD97*(AC153-AC14))</f>
        <v>0</v>
      </c>
      <c r="AD97" s="482"/>
      <c r="AE97" s="375"/>
      <c r="AF97" s="356" t="str">
        <f>IF(ISERROR(AE97/(AE153-AE14)),"",AE97/(AE153-AE14))</f>
        <v/>
      </c>
      <c r="AG97" s="355">
        <f t="shared" si="114"/>
        <v>0</v>
      </c>
      <c r="AH97" s="97" t="e">
        <f t="shared" si="99"/>
        <v>#VALUE!</v>
      </c>
      <c r="AI97" s="285">
        <f t="shared" si="55"/>
        <v>0</v>
      </c>
      <c r="AJ97" s="295" t="str">
        <f>IF(ISERROR(AI97/AI153-AI14),"",AI97/AI153-AI14)</f>
        <v/>
      </c>
      <c r="AK97" s="229">
        <f t="shared" si="56"/>
        <v>0</v>
      </c>
      <c r="AL97" s="356" t="str">
        <f>IF(ISERROR(AK97/(AK153-AK14)),"",AK97/(AK153-AK14))</f>
        <v/>
      </c>
      <c r="AM97" s="229">
        <f t="shared" si="100"/>
        <v>0</v>
      </c>
      <c r="AN97" s="96"/>
      <c r="AO97" s="99"/>
      <c r="AP97" s="487">
        <f>IF(ISERROR(AQ97*(AP153-AP14)),"",AQ97*(AP153-AP14))</f>
        <v>0</v>
      </c>
      <c r="AQ97" s="482"/>
      <c r="AR97" s="375"/>
      <c r="AS97" s="356" t="str">
        <f>IF(ISERROR(AR97/(AR153-AR14)),"",AR97/(AR153-AR14))</f>
        <v/>
      </c>
      <c r="AT97" s="355">
        <f t="shared" si="115"/>
        <v>0</v>
      </c>
      <c r="AU97" s="96"/>
      <c r="AV97" s="487">
        <f>IF(ISERROR(AW97*(AV153-AV14)),"",AW97*(AV153-AV14))</f>
        <v>0</v>
      </c>
      <c r="AW97" s="482"/>
      <c r="AX97" s="375"/>
      <c r="AY97" s="356" t="str">
        <f>IF(ISERROR(AX97/(AX153-AX14)),"",AX97/(AX153-AX14))</f>
        <v/>
      </c>
      <c r="AZ97" s="355">
        <f t="shared" si="116"/>
        <v>0</v>
      </c>
      <c r="BA97" s="96"/>
      <c r="BB97" s="487">
        <f>IF(ISERROR(BC97*(BB153-BB14)),"",BC97*(BB153-BB14))</f>
        <v>0</v>
      </c>
      <c r="BC97" s="482"/>
      <c r="BD97" s="375"/>
      <c r="BE97" s="356" t="str">
        <f>IF(ISERROR(BD97/(BD153-BD14)),"",BD97/(BD153-BD14))</f>
        <v/>
      </c>
      <c r="BF97" s="355">
        <f t="shared" si="117"/>
        <v>0</v>
      </c>
      <c r="BG97" s="96"/>
      <c r="BH97" s="285">
        <f t="shared" si="61"/>
        <v>0</v>
      </c>
      <c r="BI97" s="356" t="str">
        <f>IF(ISERROR(BH97/(BH153-BH14)),"",BH97/(BH153-BH14))</f>
        <v/>
      </c>
      <c r="BJ97" s="229">
        <f t="shared" si="62"/>
        <v>0</v>
      </c>
      <c r="BK97" s="356" t="str">
        <f>IF(ISERROR(BJ97/(BJ153-BJ14)),"",BJ97/(BJ153-BJ14))</f>
        <v/>
      </c>
      <c r="BL97" s="229">
        <f t="shared" si="104"/>
        <v>0</v>
      </c>
      <c r="BM97" s="96"/>
      <c r="BN97" s="99"/>
      <c r="BO97" s="487">
        <f>IF(ISERROR(BP97*(BO153-BO14)),"",BP97*(BO153-BO14))</f>
        <v>0</v>
      </c>
      <c r="BP97" s="482"/>
      <c r="BQ97" s="375"/>
      <c r="BR97" s="356" t="str">
        <f>IF(ISERROR(BQ97/(BQ153-BQ14)),"",BQ97/(BQ153-BQ14))</f>
        <v/>
      </c>
      <c r="BS97" s="355">
        <f t="shared" si="118"/>
        <v>0</v>
      </c>
      <c r="BT97" s="96"/>
      <c r="BU97" s="487">
        <f>IF(ISERROR(BV97*(BU153-BU14)),"",BV97*(BU153-BU14))</f>
        <v>0</v>
      </c>
      <c r="BV97" s="482"/>
      <c r="BW97" s="375"/>
      <c r="BX97" s="356" t="str">
        <f>IF(ISERROR(BW97/(BW153-BW14)),"",BW97/(BW153-BW14))</f>
        <v/>
      </c>
      <c r="BY97" s="355">
        <f t="shared" si="119"/>
        <v>0</v>
      </c>
      <c r="BZ97" s="96"/>
      <c r="CA97" s="487">
        <f>IF(ISERROR(CB97*(CA153-CA14)),"",CB97*(CA153-CA14))</f>
        <v>0</v>
      </c>
      <c r="CB97" s="482"/>
      <c r="CC97" s="375"/>
      <c r="CD97" s="356" t="str">
        <f>IF(ISERROR(CC97/(CC153-CC14)),"",CC97/(CC153-CC14))</f>
        <v/>
      </c>
      <c r="CE97" s="355">
        <f t="shared" si="120"/>
        <v>0</v>
      </c>
      <c r="CF97" s="96"/>
      <c r="CG97" s="285">
        <f t="shared" si="67"/>
        <v>0</v>
      </c>
      <c r="CH97" s="356" t="str">
        <f>IF(ISERROR(CG97/(CG153-CG14)),"",CG97/(CG153-CG14))</f>
        <v/>
      </c>
      <c r="CI97" s="229">
        <f t="shared" si="68"/>
        <v>0</v>
      </c>
      <c r="CJ97" s="356" t="str">
        <f>IF(ISERROR(CI97/(CI153-CI14)),"",CI97/(CI153-CI14))</f>
        <v/>
      </c>
      <c r="CK97" s="229">
        <f t="shared" si="108"/>
        <v>0</v>
      </c>
      <c r="CL97" s="96"/>
      <c r="CM97" s="100"/>
      <c r="CN97" s="487">
        <f>IF(ISERROR(CO97*(CN153-CN14)),"",CO97*(CN153-CN14))</f>
        <v>0</v>
      </c>
      <c r="CO97" s="482"/>
      <c r="CP97" s="375"/>
      <c r="CQ97" s="356" t="str">
        <f>IF(ISERROR(CP97/(CP153-CP14)),"",CP97/(CP153-CP14))</f>
        <v/>
      </c>
      <c r="CR97" s="355">
        <f t="shared" si="121"/>
        <v>0</v>
      </c>
      <c r="CS97" s="96"/>
      <c r="CT97" s="487">
        <f>IF(ISERROR(CU97*(CT153-CT14)),"",CU97*(CT153-CT14))</f>
        <v>0</v>
      </c>
      <c r="CU97" s="482"/>
      <c r="CV97" s="375"/>
      <c r="CW97" s="356" t="str">
        <f>IF(ISERROR(CV97/(CV153-CV14)),"",CV97/(CV153-CV14))</f>
        <v/>
      </c>
      <c r="CX97" s="355">
        <f t="shared" si="122"/>
        <v>0</v>
      </c>
      <c r="CY97" s="96"/>
      <c r="CZ97" s="487">
        <f>IF(ISERROR(DA97*(CZ153-CZ14)),"",DA97*(CZ153-CZ14))</f>
        <v>0</v>
      </c>
      <c r="DA97" s="482"/>
      <c r="DB97" s="375"/>
      <c r="DC97" s="356" t="str">
        <f>IF(ISERROR(DB97/(DB153-DB14)),"",DB97/(DB153-DB14))</f>
        <v/>
      </c>
      <c r="DD97" s="355">
        <f t="shared" si="123"/>
        <v>0</v>
      </c>
      <c r="DE97" s="96"/>
      <c r="DF97" s="285">
        <f t="shared" si="73"/>
        <v>0</v>
      </c>
      <c r="DG97" s="356" t="str">
        <f>IF(ISERROR(DF97/(DF153-DF14)),"",DF97/(DF153-DF14))</f>
        <v/>
      </c>
      <c r="DH97" s="229">
        <f t="shared" si="74"/>
        <v>0</v>
      </c>
      <c r="DI97" s="356" t="str">
        <f>IF(ISERROR(DH97/(DH153-DH14)),"",DH97/(DH153-DH14))</f>
        <v/>
      </c>
      <c r="DJ97" s="229">
        <f t="shared" si="112"/>
        <v>0</v>
      </c>
      <c r="DK97" s="7"/>
    </row>
    <row r="98" spans="1:115" s="3" customFormat="1" ht="21.75" customHeight="1" outlineLevel="1" x14ac:dyDescent="0.25">
      <c r="A98" s="80">
        <v>89</v>
      </c>
      <c r="B98" s="618"/>
      <c r="C98" s="622"/>
      <c r="D98" s="623"/>
      <c r="E98" s="609" t="s">
        <v>97</v>
      </c>
      <c r="F98" s="610"/>
      <c r="G98" s="610"/>
      <c r="H98" s="610"/>
      <c r="I98" s="611"/>
      <c r="J98" s="230">
        <f t="shared" si="93"/>
        <v>0</v>
      </c>
      <c r="K98" s="296" t="str">
        <f>IF(ISERROR(J98/J153-J14),"",J98/J153-J14)</f>
        <v/>
      </c>
      <c r="L98" s="231">
        <f t="shared" si="94"/>
        <v>0</v>
      </c>
      <c r="M98" s="296" t="str">
        <f>IF(ISERROR(L98/L153-L14),"",L98/L153-L14)</f>
        <v/>
      </c>
      <c r="N98" s="207">
        <f t="shared" si="49"/>
        <v>0</v>
      </c>
      <c r="O98" s="45" t="e">
        <f t="shared" si="95"/>
        <v>#VALUE!</v>
      </c>
      <c r="P98" s="47"/>
      <c r="Q98" s="487">
        <f>IF(ISERROR(R98*(Q153-Q14)),"",R98*(Q153-Q14))</f>
        <v>0</v>
      </c>
      <c r="R98" s="483"/>
      <c r="S98" s="371"/>
      <c r="T98" s="359" t="str">
        <f>IF(ISERROR(S98/(S153-S14)),"",S98/(S153-S14))</f>
        <v/>
      </c>
      <c r="U98" s="358">
        <f t="shared" si="96"/>
        <v>0</v>
      </c>
      <c r="V98" s="102"/>
      <c r="W98" s="487">
        <f>IF(ISERROR(X98*(W153-W14)),"",X98*(W153-W14))</f>
        <v>0</v>
      </c>
      <c r="X98" s="483"/>
      <c r="Y98" s="371"/>
      <c r="Z98" s="359" t="str">
        <f>IF(ISERROR(Y98/(Y153-Y14)),"",Y98/(Y153-Y14))</f>
        <v/>
      </c>
      <c r="AA98" s="358">
        <f t="shared" si="113"/>
        <v>0</v>
      </c>
      <c r="AB98" s="102"/>
      <c r="AC98" s="487">
        <f>IF(ISERROR(AD98*(AC153-AC14)),"",AD98*(AC153-AC14))</f>
        <v>0</v>
      </c>
      <c r="AD98" s="483"/>
      <c r="AE98" s="371"/>
      <c r="AF98" s="359" t="str">
        <f>IF(ISERROR(AE98/(AE153-AE14)),"",AE98/(AE153-AE14))</f>
        <v/>
      </c>
      <c r="AG98" s="358">
        <f t="shared" si="114"/>
        <v>0</v>
      </c>
      <c r="AH98" s="103" t="e">
        <f t="shared" si="99"/>
        <v>#VALUE!</v>
      </c>
      <c r="AI98" s="286">
        <f t="shared" si="55"/>
        <v>0</v>
      </c>
      <c r="AJ98" s="296" t="str">
        <f>IF(ISERROR(AI98/AI153-AI14),"",AI98/AI153-AI14)</f>
        <v/>
      </c>
      <c r="AK98" s="231">
        <f t="shared" si="56"/>
        <v>0</v>
      </c>
      <c r="AL98" s="359" t="str">
        <f>IF(ISERROR(AK98/(AK153-AK14)),"",AK98/(AK153-AK14))</f>
        <v/>
      </c>
      <c r="AM98" s="231">
        <f t="shared" si="100"/>
        <v>0</v>
      </c>
      <c r="AN98" s="102"/>
      <c r="AO98" s="99"/>
      <c r="AP98" s="487">
        <f>IF(ISERROR(AQ98*(AP153-AP14)),"",AQ98*(AP153-AP14))</f>
        <v>0</v>
      </c>
      <c r="AQ98" s="483"/>
      <c r="AR98" s="371"/>
      <c r="AS98" s="359" t="str">
        <f>IF(ISERROR(AR98/(AR153-AR14)),"",AR98/(AR153-AR14))</f>
        <v/>
      </c>
      <c r="AT98" s="358">
        <f t="shared" si="115"/>
        <v>0</v>
      </c>
      <c r="AU98" s="102"/>
      <c r="AV98" s="487">
        <f>IF(ISERROR(AW98*(AV153-AV14)),"",AW98*(AV153-AV14))</f>
        <v>0</v>
      </c>
      <c r="AW98" s="483"/>
      <c r="AX98" s="371"/>
      <c r="AY98" s="359" t="str">
        <f>IF(ISERROR(AX98/(AX153-AX14)),"",AX98/(AX153-AX14))</f>
        <v/>
      </c>
      <c r="AZ98" s="358">
        <f t="shared" si="116"/>
        <v>0</v>
      </c>
      <c r="BA98" s="102"/>
      <c r="BB98" s="487">
        <f>IF(ISERROR(BC98*(BB153-BB14)),"",BC98*(BB153-BB14))</f>
        <v>0</v>
      </c>
      <c r="BC98" s="483"/>
      <c r="BD98" s="371"/>
      <c r="BE98" s="359" t="str">
        <f>IF(ISERROR(BD98/(BD153-BD14)),"",BD98/(BD153-BD14))</f>
        <v/>
      </c>
      <c r="BF98" s="358">
        <f t="shared" si="117"/>
        <v>0</v>
      </c>
      <c r="BG98" s="102"/>
      <c r="BH98" s="286">
        <f t="shared" si="61"/>
        <v>0</v>
      </c>
      <c r="BI98" s="359" t="str">
        <f>IF(ISERROR(BH98/(BH153-BH14)),"",BH98/(BH153-BH14))</f>
        <v/>
      </c>
      <c r="BJ98" s="231">
        <f t="shared" si="62"/>
        <v>0</v>
      </c>
      <c r="BK98" s="359" t="str">
        <f>IF(ISERROR(BJ98/(BJ153-BJ14)),"",BJ98/(BJ153-BJ14))</f>
        <v/>
      </c>
      <c r="BL98" s="231">
        <f t="shared" si="104"/>
        <v>0</v>
      </c>
      <c r="BM98" s="102"/>
      <c r="BN98" s="99"/>
      <c r="BO98" s="487">
        <f>IF(ISERROR(BP98*(BO153-BO14)),"",BP98*(BO153-BO14))</f>
        <v>0</v>
      </c>
      <c r="BP98" s="483"/>
      <c r="BQ98" s="371"/>
      <c r="BR98" s="359" t="str">
        <f>IF(ISERROR(BQ98/(BQ153-BQ14)),"",BQ98/(BQ153-BQ14))</f>
        <v/>
      </c>
      <c r="BS98" s="358">
        <f t="shared" si="118"/>
        <v>0</v>
      </c>
      <c r="BT98" s="102"/>
      <c r="BU98" s="487">
        <f>IF(ISERROR(BV98*(BU153-BU14)),"",BV98*(BU153-BU14))</f>
        <v>0</v>
      </c>
      <c r="BV98" s="483"/>
      <c r="BW98" s="371"/>
      <c r="BX98" s="359" t="str">
        <f>IF(ISERROR(BW98/(BW153-BW14)),"",BW98/(BW153-BW14))</f>
        <v/>
      </c>
      <c r="BY98" s="358">
        <f t="shared" si="119"/>
        <v>0</v>
      </c>
      <c r="BZ98" s="102"/>
      <c r="CA98" s="487">
        <f>IF(ISERROR(CB98*(CA153-CA14)),"",CB98*(CA153-CA14))</f>
        <v>0</v>
      </c>
      <c r="CB98" s="483"/>
      <c r="CC98" s="371"/>
      <c r="CD98" s="359" t="str">
        <f>IF(ISERROR(CC98/(CC153-CC14)),"",CC98/(CC153-CC14))</f>
        <v/>
      </c>
      <c r="CE98" s="358">
        <f t="shared" si="120"/>
        <v>0</v>
      </c>
      <c r="CF98" s="102"/>
      <c r="CG98" s="286">
        <f t="shared" si="67"/>
        <v>0</v>
      </c>
      <c r="CH98" s="359" t="str">
        <f>IF(ISERROR(CG98/(CG153-CG14)),"",CG98/(CG153-CG14))</f>
        <v/>
      </c>
      <c r="CI98" s="231">
        <f t="shared" si="68"/>
        <v>0</v>
      </c>
      <c r="CJ98" s="359" t="str">
        <f>IF(ISERROR(CI98/(CI153-CI14)),"",CI98/(CI153-CI14))</f>
        <v/>
      </c>
      <c r="CK98" s="231">
        <f t="shared" si="108"/>
        <v>0</v>
      </c>
      <c r="CL98" s="102"/>
      <c r="CM98" s="100"/>
      <c r="CN98" s="487">
        <f>IF(ISERROR(CO98*(CN153-CN14)),"",CO98*(CN153-CN14))</f>
        <v>0</v>
      </c>
      <c r="CO98" s="483"/>
      <c r="CP98" s="371"/>
      <c r="CQ98" s="359" t="str">
        <f>IF(ISERROR(CP98/(CP153-CP14)),"",CP98/(CP153-CP14))</f>
        <v/>
      </c>
      <c r="CR98" s="358">
        <f t="shared" si="121"/>
        <v>0</v>
      </c>
      <c r="CS98" s="102"/>
      <c r="CT98" s="487">
        <f>IF(ISERROR(CU98*(CT153-CT14)),"",CU98*(CT153-CT14))</f>
        <v>0</v>
      </c>
      <c r="CU98" s="483"/>
      <c r="CV98" s="371"/>
      <c r="CW98" s="359" t="str">
        <f>IF(ISERROR(CV98/(CV153-CV14)),"",CV98/(CV153-CV14))</f>
        <v/>
      </c>
      <c r="CX98" s="358">
        <f t="shared" si="122"/>
        <v>0</v>
      </c>
      <c r="CY98" s="102"/>
      <c r="CZ98" s="487">
        <f>IF(ISERROR(DA98*(CZ153-CZ14)),"",DA98*(CZ153-CZ14))</f>
        <v>0</v>
      </c>
      <c r="DA98" s="483"/>
      <c r="DB98" s="371"/>
      <c r="DC98" s="359" t="str">
        <f>IF(ISERROR(DB98/(DB153-DB14)),"",DB98/(DB153-DB14))</f>
        <v/>
      </c>
      <c r="DD98" s="358">
        <f t="shared" si="123"/>
        <v>0</v>
      </c>
      <c r="DE98" s="102"/>
      <c r="DF98" s="286">
        <f t="shared" si="73"/>
        <v>0</v>
      </c>
      <c r="DG98" s="359" t="str">
        <f>IF(ISERROR(DF98/(DF153-DF14)),"",DF98/(DF153-DF14))</f>
        <v/>
      </c>
      <c r="DH98" s="231">
        <f t="shared" si="74"/>
        <v>0</v>
      </c>
      <c r="DI98" s="359" t="str">
        <f>IF(ISERROR(DH98/(DH153-DH14)),"",DH98/(DH153-DH14))</f>
        <v/>
      </c>
      <c r="DJ98" s="231">
        <f t="shared" si="112"/>
        <v>0</v>
      </c>
      <c r="DK98" s="8"/>
    </row>
    <row r="99" spans="1:115" s="3" customFormat="1" ht="21.75" customHeight="1" outlineLevel="1" x14ac:dyDescent="0.25">
      <c r="A99" s="80">
        <v>90</v>
      </c>
      <c r="B99" s="618"/>
      <c r="C99" s="622"/>
      <c r="D99" s="623"/>
      <c r="E99" s="609" t="s">
        <v>98</v>
      </c>
      <c r="F99" s="610"/>
      <c r="G99" s="610"/>
      <c r="H99" s="610"/>
      <c r="I99" s="611"/>
      <c r="J99" s="230">
        <f t="shared" si="93"/>
        <v>0</v>
      </c>
      <c r="K99" s="296" t="str">
        <f>IF(ISERROR(J99/J153),"",J99/J153)</f>
        <v/>
      </c>
      <c r="L99" s="231">
        <f t="shared" si="94"/>
        <v>0</v>
      </c>
      <c r="M99" s="296" t="str">
        <f>IF(ISERROR(L99/L153),"",L99/L153)</f>
        <v/>
      </c>
      <c r="N99" s="207">
        <f t="shared" si="49"/>
        <v>0</v>
      </c>
      <c r="O99" s="45" t="e">
        <f t="shared" si="95"/>
        <v>#VALUE!</v>
      </c>
      <c r="P99" s="47"/>
      <c r="Q99" s="488">
        <f>IF(ISERROR(R99*(Q153)),"",R99*(Q153))</f>
        <v>0</v>
      </c>
      <c r="R99" s="483"/>
      <c r="S99" s="371"/>
      <c r="T99" s="359" t="str">
        <f>IF(ISERROR(S99/S153),"",S99/S153)</f>
        <v/>
      </c>
      <c r="U99" s="358">
        <f t="shared" si="96"/>
        <v>0</v>
      </c>
      <c r="V99" s="102"/>
      <c r="W99" s="488">
        <f>IF(ISERROR(X99*(W153)),"",X99*(W153))</f>
        <v>0</v>
      </c>
      <c r="X99" s="483"/>
      <c r="Y99" s="371"/>
      <c r="Z99" s="359" t="str">
        <f>IF(ISERROR(Y99/Y153),"",Y99/Y153)</f>
        <v/>
      </c>
      <c r="AA99" s="358">
        <f t="shared" si="113"/>
        <v>0</v>
      </c>
      <c r="AB99" s="102"/>
      <c r="AC99" s="488">
        <f>IF(ISERROR(AD99*(AC153)),"",AD99*(AC153))</f>
        <v>0</v>
      </c>
      <c r="AD99" s="483"/>
      <c r="AE99" s="371"/>
      <c r="AF99" s="359" t="str">
        <f>IF(ISERROR(AE99/AE153),"",AE99/AE153)</f>
        <v/>
      </c>
      <c r="AG99" s="358">
        <f t="shared" si="114"/>
        <v>0</v>
      </c>
      <c r="AH99" s="103" t="e">
        <f t="shared" si="99"/>
        <v>#VALUE!</v>
      </c>
      <c r="AI99" s="286">
        <f t="shared" si="55"/>
        <v>0</v>
      </c>
      <c r="AJ99" s="296" t="str">
        <f>IF(ISERROR(AI99/AI153),"",AI99/AI153)</f>
        <v/>
      </c>
      <c r="AK99" s="231">
        <f t="shared" si="56"/>
        <v>0</v>
      </c>
      <c r="AL99" s="296" t="str">
        <f>IF(ISERROR(AK99/AK153),"",AK99/AK153)</f>
        <v/>
      </c>
      <c r="AM99" s="231">
        <f t="shared" si="100"/>
        <v>0</v>
      </c>
      <c r="AN99" s="102"/>
      <c r="AO99" s="99"/>
      <c r="AP99" s="488">
        <f>IF(ISERROR(AQ99*(AP153)),"",AQ99*(AP153))</f>
        <v>0</v>
      </c>
      <c r="AQ99" s="483"/>
      <c r="AR99" s="371"/>
      <c r="AS99" s="359" t="str">
        <f>IF(ISERROR(AR99/AR153),"",AR99/AR153)</f>
        <v/>
      </c>
      <c r="AT99" s="358">
        <f t="shared" si="115"/>
        <v>0</v>
      </c>
      <c r="AU99" s="102"/>
      <c r="AV99" s="488">
        <f>IF(ISERROR(AW99*(AV153)),"",AW99*(AV153))</f>
        <v>0</v>
      </c>
      <c r="AW99" s="483"/>
      <c r="AX99" s="371"/>
      <c r="AY99" s="359" t="str">
        <f>IF(ISERROR(AX99/AX153),"",AX99/AX153)</f>
        <v/>
      </c>
      <c r="AZ99" s="358">
        <f t="shared" si="116"/>
        <v>0</v>
      </c>
      <c r="BA99" s="102"/>
      <c r="BB99" s="488">
        <f>IF(ISERROR(BC99*(BB153)),"",BC99*(BB153))</f>
        <v>0</v>
      </c>
      <c r="BC99" s="483"/>
      <c r="BD99" s="371"/>
      <c r="BE99" s="359" t="str">
        <f>IF(ISERROR(BD99/BD153),"",BD99/BD153)</f>
        <v/>
      </c>
      <c r="BF99" s="358">
        <f t="shared" si="117"/>
        <v>0</v>
      </c>
      <c r="BG99" s="102"/>
      <c r="BH99" s="286">
        <f t="shared" si="61"/>
        <v>0</v>
      </c>
      <c r="BI99" s="296" t="str">
        <f>IF(ISERROR(BH99/BH153),"",BH99/BH153)</f>
        <v/>
      </c>
      <c r="BJ99" s="231">
        <f t="shared" si="62"/>
        <v>0</v>
      </c>
      <c r="BK99" s="296" t="str">
        <f>IF(ISERROR(BJ99/BJ153),"",BJ99/BJ153)</f>
        <v/>
      </c>
      <c r="BL99" s="231">
        <f t="shared" si="104"/>
        <v>0</v>
      </c>
      <c r="BM99" s="102"/>
      <c r="BN99" s="99"/>
      <c r="BO99" s="488">
        <f>IF(ISERROR(BP99*(BO153)),"",BP99*(BO153))</f>
        <v>0</v>
      </c>
      <c r="BP99" s="483"/>
      <c r="BQ99" s="371"/>
      <c r="BR99" s="359" t="str">
        <f>IF(ISERROR(BQ99/BQ153),"",BQ99/BQ153)</f>
        <v/>
      </c>
      <c r="BS99" s="358">
        <f t="shared" si="118"/>
        <v>0</v>
      </c>
      <c r="BT99" s="102"/>
      <c r="BU99" s="488">
        <f>IF(ISERROR(BV99*(BU153)),"",BV99*(BU153))</f>
        <v>0</v>
      </c>
      <c r="BV99" s="483"/>
      <c r="BW99" s="371"/>
      <c r="BX99" s="359" t="str">
        <f>IF(ISERROR(BW99/BW153),"",BW99/BW153)</f>
        <v/>
      </c>
      <c r="BY99" s="358">
        <f t="shared" si="119"/>
        <v>0</v>
      </c>
      <c r="BZ99" s="102"/>
      <c r="CA99" s="488">
        <f>IF(ISERROR(CB99*(CA153)),"",CB99*(CA153))</f>
        <v>0</v>
      </c>
      <c r="CB99" s="483"/>
      <c r="CC99" s="371"/>
      <c r="CD99" s="359" t="str">
        <f>IF(ISERROR(CC99/CC153),"",CC99/CC153)</f>
        <v/>
      </c>
      <c r="CE99" s="358">
        <f t="shared" si="120"/>
        <v>0</v>
      </c>
      <c r="CF99" s="102"/>
      <c r="CG99" s="286">
        <f t="shared" si="67"/>
        <v>0</v>
      </c>
      <c r="CH99" s="296" t="str">
        <f>IF(ISERROR(CG99/CG153),"",CG99/CG153)</f>
        <v/>
      </c>
      <c r="CI99" s="231">
        <f t="shared" si="68"/>
        <v>0</v>
      </c>
      <c r="CJ99" s="296" t="str">
        <f>IF(ISERROR(CI99/CI153),"",CI99/CI153)</f>
        <v/>
      </c>
      <c r="CK99" s="231">
        <f t="shared" si="108"/>
        <v>0</v>
      </c>
      <c r="CL99" s="102"/>
      <c r="CM99" s="100"/>
      <c r="CN99" s="488">
        <f>IF(ISERROR(CO99*(CN153)),"",CO99*(CN153))</f>
        <v>0</v>
      </c>
      <c r="CO99" s="483"/>
      <c r="CP99" s="371"/>
      <c r="CQ99" s="359" t="str">
        <f>IF(ISERROR(CP99/CP153),"",CP99/CP153)</f>
        <v/>
      </c>
      <c r="CR99" s="358">
        <f t="shared" si="121"/>
        <v>0</v>
      </c>
      <c r="CS99" s="102"/>
      <c r="CT99" s="488">
        <f>IF(ISERROR(CU99*(CT153)),"",CU99*(CT153))</f>
        <v>0</v>
      </c>
      <c r="CU99" s="483"/>
      <c r="CV99" s="371"/>
      <c r="CW99" s="359" t="str">
        <f>IF(ISERROR(CV99/CV153),"",CV99/CV153)</f>
        <v/>
      </c>
      <c r="CX99" s="358">
        <f t="shared" si="122"/>
        <v>0</v>
      </c>
      <c r="CY99" s="102"/>
      <c r="CZ99" s="488">
        <f>IF(ISERROR(DA99*(CZ153)),"",DA99*(CZ153))</f>
        <v>0</v>
      </c>
      <c r="DA99" s="483"/>
      <c r="DB99" s="371"/>
      <c r="DC99" s="359" t="str">
        <f>IF(ISERROR(DB99/DB153),"",DB99/DB153)</f>
        <v/>
      </c>
      <c r="DD99" s="358">
        <f t="shared" si="123"/>
        <v>0</v>
      </c>
      <c r="DE99" s="102"/>
      <c r="DF99" s="286">
        <f t="shared" si="73"/>
        <v>0</v>
      </c>
      <c r="DG99" s="296" t="str">
        <f>IF(ISERROR(DF99/DF153),"",DF99/DF153)</f>
        <v/>
      </c>
      <c r="DH99" s="231">
        <f t="shared" si="74"/>
        <v>0</v>
      </c>
      <c r="DI99" s="296" t="str">
        <f>IF(ISERROR(DH99/DH153),"",DH99/DH153)</f>
        <v/>
      </c>
      <c r="DJ99" s="231">
        <f t="shared" si="112"/>
        <v>0</v>
      </c>
      <c r="DK99" s="8"/>
    </row>
    <row r="100" spans="1:115" s="3" customFormat="1" ht="21.75" customHeight="1" outlineLevel="1" x14ac:dyDescent="0.25">
      <c r="A100" s="80">
        <v>91</v>
      </c>
      <c r="B100" s="618"/>
      <c r="C100" s="622"/>
      <c r="D100" s="623"/>
      <c r="E100" s="609" t="s">
        <v>99</v>
      </c>
      <c r="F100" s="610"/>
      <c r="G100" s="610"/>
      <c r="H100" s="610"/>
      <c r="I100" s="611"/>
      <c r="J100" s="230">
        <f t="shared" si="93"/>
        <v>0</v>
      </c>
      <c r="K100" s="296" t="str">
        <f>IF(ISERROR(J100/J153),"",J100/J153)</f>
        <v/>
      </c>
      <c r="L100" s="231">
        <f t="shared" si="94"/>
        <v>0</v>
      </c>
      <c r="M100" s="296" t="str">
        <f>IF(ISERROR(L100/L153),"",L100/L153)</f>
        <v/>
      </c>
      <c r="N100" s="207">
        <f t="shared" si="49"/>
        <v>0</v>
      </c>
      <c r="O100" s="45" t="e">
        <f t="shared" si="95"/>
        <v>#VALUE!</v>
      </c>
      <c r="P100" s="47"/>
      <c r="Q100" s="488">
        <f>IF(ISERROR(R100*(Q153)),"",R100*(Q153))</f>
        <v>0</v>
      </c>
      <c r="R100" s="483"/>
      <c r="S100" s="371"/>
      <c r="T100" s="359" t="str">
        <f>IF(ISERROR(S100/S153),"",S100/S153)</f>
        <v/>
      </c>
      <c r="U100" s="358">
        <f t="shared" si="96"/>
        <v>0</v>
      </c>
      <c r="V100" s="102"/>
      <c r="W100" s="488">
        <f>IF(ISERROR(X100*(W153)),"",X100*(W153))</f>
        <v>0</v>
      </c>
      <c r="X100" s="483"/>
      <c r="Y100" s="371"/>
      <c r="Z100" s="359" t="str">
        <f>IF(ISERROR(Y100/Y153),"",Y100/Y153)</f>
        <v/>
      </c>
      <c r="AA100" s="358">
        <f t="shared" si="113"/>
        <v>0</v>
      </c>
      <c r="AB100" s="102"/>
      <c r="AC100" s="488">
        <f>IF(ISERROR(AD100*(AC153)),"",AD100*(AC153))</f>
        <v>0</v>
      </c>
      <c r="AD100" s="483"/>
      <c r="AE100" s="371"/>
      <c r="AF100" s="359" t="str">
        <f>IF(ISERROR(AE100/AE153),"",AE100/AE153)</f>
        <v/>
      </c>
      <c r="AG100" s="358">
        <f t="shared" si="114"/>
        <v>0</v>
      </c>
      <c r="AH100" s="103" t="e">
        <f t="shared" si="99"/>
        <v>#VALUE!</v>
      </c>
      <c r="AI100" s="286">
        <f t="shared" si="55"/>
        <v>0</v>
      </c>
      <c r="AJ100" s="296" t="str">
        <f>IF(ISERROR(AI100/AI153),"",AI100/AI153)</f>
        <v/>
      </c>
      <c r="AK100" s="231">
        <f t="shared" si="56"/>
        <v>0</v>
      </c>
      <c r="AL100" s="296" t="str">
        <f>IF(ISERROR(AK100/AK153),"",AK100/AK153)</f>
        <v/>
      </c>
      <c r="AM100" s="231">
        <f t="shared" si="100"/>
        <v>0</v>
      </c>
      <c r="AN100" s="102"/>
      <c r="AO100" s="99"/>
      <c r="AP100" s="488">
        <f>IF(ISERROR(AQ100*(AP153)),"",AQ100*(AP153))</f>
        <v>0</v>
      </c>
      <c r="AQ100" s="483"/>
      <c r="AR100" s="371"/>
      <c r="AS100" s="359" t="str">
        <f>IF(ISERROR(AR100/AR153),"",AR100/AR153)</f>
        <v/>
      </c>
      <c r="AT100" s="358">
        <f t="shared" si="115"/>
        <v>0</v>
      </c>
      <c r="AU100" s="102"/>
      <c r="AV100" s="488">
        <f>IF(ISERROR(AW100*(AV153)),"",AW100*(AV153))</f>
        <v>0</v>
      </c>
      <c r="AW100" s="483"/>
      <c r="AX100" s="371"/>
      <c r="AY100" s="359" t="str">
        <f>IF(ISERROR(AX100/AX153),"",AX100/AX153)</f>
        <v/>
      </c>
      <c r="AZ100" s="358">
        <f t="shared" si="116"/>
        <v>0</v>
      </c>
      <c r="BA100" s="102"/>
      <c r="BB100" s="488">
        <f>IF(ISERROR(BC100*(BB153)),"",BC100*(BB153))</f>
        <v>0</v>
      </c>
      <c r="BC100" s="483"/>
      <c r="BD100" s="371"/>
      <c r="BE100" s="359" t="str">
        <f>IF(ISERROR(BD100/BD153),"",BD100/BD153)</f>
        <v/>
      </c>
      <c r="BF100" s="358">
        <f t="shared" si="117"/>
        <v>0</v>
      </c>
      <c r="BG100" s="102"/>
      <c r="BH100" s="286">
        <f t="shared" si="61"/>
        <v>0</v>
      </c>
      <c r="BI100" s="296" t="str">
        <f>IF(ISERROR(BH100/BH153),"",BH100/BH153)</f>
        <v/>
      </c>
      <c r="BJ100" s="231">
        <f t="shared" si="62"/>
        <v>0</v>
      </c>
      <c r="BK100" s="296" t="str">
        <f>IF(ISERROR(BJ100/BJ153),"",BJ100/BJ153)</f>
        <v/>
      </c>
      <c r="BL100" s="231">
        <f t="shared" si="104"/>
        <v>0</v>
      </c>
      <c r="BM100" s="102"/>
      <c r="BN100" s="99"/>
      <c r="BO100" s="488">
        <f>IF(ISERROR(BP100*(BO153)),"",BP100*(BO153))</f>
        <v>0</v>
      </c>
      <c r="BP100" s="483"/>
      <c r="BQ100" s="371"/>
      <c r="BR100" s="359" t="str">
        <f>IF(ISERROR(BQ100/BQ153),"",BQ100/BQ153)</f>
        <v/>
      </c>
      <c r="BS100" s="358">
        <f t="shared" si="118"/>
        <v>0</v>
      </c>
      <c r="BT100" s="102"/>
      <c r="BU100" s="488">
        <f>IF(ISERROR(BV100*(BU153)),"",BV100*(BU153))</f>
        <v>0</v>
      </c>
      <c r="BV100" s="483"/>
      <c r="BW100" s="371"/>
      <c r="BX100" s="359" t="str">
        <f>IF(ISERROR(BW100/BW153),"",BW100/BW153)</f>
        <v/>
      </c>
      <c r="BY100" s="358">
        <f t="shared" si="119"/>
        <v>0</v>
      </c>
      <c r="BZ100" s="102"/>
      <c r="CA100" s="488">
        <f>IF(ISERROR(CB100*(CA153)),"",CB100*(CA153))</f>
        <v>0</v>
      </c>
      <c r="CB100" s="483"/>
      <c r="CC100" s="371"/>
      <c r="CD100" s="359" t="str">
        <f>IF(ISERROR(CC100/CC153),"",CC100/CC153)</f>
        <v/>
      </c>
      <c r="CE100" s="358">
        <f t="shared" si="120"/>
        <v>0</v>
      </c>
      <c r="CF100" s="102"/>
      <c r="CG100" s="286">
        <f t="shared" si="67"/>
        <v>0</v>
      </c>
      <c r="CH100" s="296" t="str">
        <f>IF(ISERROR(CG100/CG153),"",CG100/CG153)</f>
        <v/>
      </c>
      <c r="CI100" s="231">
        <f t="shared" si="68"/>
        <v>0</v>
      </c>
      <c r="CJ100" s="296" t="str">
        <f>IF(ISERROR(CI100/CI153),"",CI100/CI153)</f>
        <v/>
      </c>
      <c r="CK100" s="231">
        <f t="shared" si="108"/>
        <v>0</v>
      </c>
      <c r="CL100" s="102"/>
      <c r="CM100" s="100"/>
      <c r="CN100" s="488">
        <f>IF(ISERROR(CO100*(CN153)),"",CO100*(CN153))</f>
        <v>0</v>
      </c>
      <c r="CO100" s="483"/>
      <c r="CP100" s="371"/>
      <c r="CQ100" s="359" t="str">
        <f>IF(ISERROR(CP100/CP153),"",CP100/CP153)</f>
        <v/>
      </c>
      <c r="CR100" s="358">
        <f t="shared" si="121"/>
        <v>0</v>
      </c>
      <c r="CS100" s="102"/>
      <c r="CT100" s="488">
        <f>IF(ISERROR(CU100*(CT153)),"",CU100*(CT153))</f>
        <v>0</v>
      </c>
      <c r="CU100" s="483"/>
      <c r="CV100" s="371"/>
      <c r="CW100" s="359" t="str">
        <f>IF(ISERROR(CV100/CV153),"",CV100/CV153)</f>
        <v/>
      </c>
      <c r="CX100" s="358">
        <f t="shared" si="122"/>
        <v>0</v>
      </c>
      <c r="CY100" s="102"/>
      <c r="CZ100" s="488">
        <f>IF(ISERROR(DA100*(CZ153)),"",DA100*(CZ153))</f>
        <v>0</v>
      </c>
      <c r="DA100" s="483"/>
      <c r="DB100" s="371"/>
      <c r="DC100" s="359" t="str">
        <f>IF(ISERROR(DB100/DB153),"",DB100/DB153)</f>
        <v/>
      </c>
      <c r="DD100" s="358">
        <f t="shared" si="123"/>
        <v>0</v>
      </c>
      <c r="DE100" s="102"/>
      <c r="DF100" s="286">
        <f t="shared" si="73"/>
        <v>0</v>
      </c>
      <c r="DG100" s="296" t="str">
        <f>IF(ISERROR(DF100/DF153),"",DF100/DF153)</f>
        <v/>
      </c>
      <c r="DH100" s="231">
        <f t="shared" si="74"/>
        <v>0</v>
      </c>
      <c r="DI100" s="296" t="str">
        <f>IF(ISERROR(DH100/DH153),"",DH100/DH153)</f>
        <v/>
      </c>
      <c r="DJ100" s="231">
        <f t="shared" si="112"/>
        <v>0</v>
      </c>
      <c r="DK100" s="8"/>
    </row>
    <row r="101" spans="1:115" s="3" customFormat="1" ht="21.75" customHeight="1" outlineLevel="1" thickBot="1" x14ac:dyDescent="0.3">
      <c r="A101" s="80">
        <v>92</v>
      </c>
      <c r="B101" s="618"/>
      <c r="C101" s="622"/>
      <c r="D101" s="623"/>
      <c r="E101" s="612" t="s">
        <v>100</v>
      </c>
      <c r="F101" s="613"/>
      <c r="G101" s="613"/>
      <c r="H101" s="613"/>
      <c r="I101" s="614"/>
      <c r="J101" s="230">
        <f t="shared" si="93"/>
        <v>0</v>
      </c>
      <c r="K101" s="296" t="str">
        <f>IF(ISERROR(J101/J153),"",J101/J153)</f>
        <v/>
      </c>
      <c r="L101" s="231">
        <f t="shared" si="94"/>
        <v>0</v>
      </c>
      <c r="M101" s="296" t="str">
        <f>IF(ISERROR(L101/L153),"",L101/L153)</f>
        <v/>
      </c>
      <c r="N101" s="207">
        <f t="shared" si="49"/>
        <v>0</v>
      </c>
      <c r="O101" s="45" t="e">
        <f t="shared" si="95"/>
        <v>#VALUE!</v>
      </c>
      <c r="P101" s="47"/>
      <c r="Q101" s="489">
        <f>IF(ISERROR(R101*(Q153)),"",R101*(Q153))</f>
        <v>0</v>
      </c>
      <c r="R101" s="484"/>
      <c r="S101" s="371"/>
      <c r="T101" s="359" t="str">
        <f>IF(ISERROR(S101/S153),"",S101/S153)</f>
        <v/>
      </c>
      <c r="U101" s="358">
        <f t="shared" si="96"/>
        <v>0</v>
      </c>
      <c r="V101" s="102"/>
      <c r="W101" s="489">
        <f>IF(ISERROR(X101*(W153)),"",X101*(W153))</f>
        <v>0</v>
      </c>
      <c r="X101" s="484"/>
      <c r="Y101" s="371"/>
      <c r="Z101" s="359" t="str">
        <f>IF(ISERROR(Y101/Y153),"",Y101/Y153)</f>
        <v/>
      </c>
      <c r="AA101" s="358">
        <f t="shared" si="113"/>
        <v>0</v>
      </c>
      <c r="AB101" s="102"/>
      <c r="AC101" s="489">
        <f>IF(ISERROR(AD101*(AC153)),"",AD101*(AC153))</f>
        <v>0</v>
      </c>
      <c r="AD101" s="484"/>
      <c r="AE101" s="371"/>
      <c r="AF101" s="359" t="str">
        <f>IF(ISERROR(AE101/AE153),"",AE101/AE153)</f>
        <v/>
      </c>
      <c r="AG101" s="358">
        <f t="shared" si="114"/>
        <v>0</v>
      </c>
      <c r="AH101" s="103" t="e">
        <f t="shared" si="99"/>
        <v>#VALUE!</v>
      </c>
      <c r="AI101" s="286">
        <f t="shared" si="55"/>
        <v>0</v>
      </c>
      <c r="AJ101" s="296" t="str">
        <f>IF(ISERROR(AI101/AI153),"",AI101/AI153)</f>
        <v/>
      </c>
      <c r="AK101" s="231">
        <f t="shared" si="56"/>
        <v>0</v>
      </c>
      <c r="AL101" s="296" t="str">
        <f>IF(ISERROR(AK101/AK153),"",AK101/AK153)</f>
        <v/>
      </c>
      <c r="AM101" s="231">
        <f t="shared" si="100"/>
        <v>0</v>
      </c>
      <c r="AN101" s="102"/>
      <c r="AO101" s="99"/>
      <c r="AP101" s="489">
        <f>IF(ISERROR(AQ101*(AP153)),"",AQ101*(AP153))</f>
        <v>0</v>
      </c>
      <c r="AQ101" s="484"/>
      <c r="AR101" s="371"/>
      <c r="AS101" s="359" t="str">
        <f>IF(ISERROR(AR101/AR153),"",AR101/AR153)</f>
        <v/>
      </c>
      <c r="AT101" s="358">
        <f t="shared" si="115"/>
        <v>0</v>
      </c>
      <c r="AU101" s="102"/>
      <c r="AV101" s="489">
        <f>IF(ISERROR(AW101*(AV153)),"",AW101*(AV153))</f>
        <v>0</v>
      </c>
      <c r="AW101" s="484"/>
      <c r="AX101" s="371"/>
      <c r="AY101" s="359" t="str">
        <f>IF(ISERROR(AX101/AX153),"",AX101/AX153)</f>
        <v/>
      </c>
      <c r="AZ101" s="358">
        <f t="shared" si="116"/>
        <v>0</v>
      </c>
      <c r="BA101" s="102"/>
      <c r="BB101" s="489">
        <f>IF(ISERROR(BC101*(BB153)),"",BC101*(BB153))</f>
        <v>0</v>
      </c>
      <c r="BC101" s="484"/>
      <c r="BD101" s="371"/>
      <c r="BE101" s="359" t="str">
        <f>IF(ISERROR(BD101/BD153),"",BD101/BD153)</f>
        <v/>
      </c>
      <c r="BF101" s="358">
        <f t="shared" si="117"/>
        <v>0</v>
      </c>
      <c r="BG101" s="102"/>
      <c r="BH101" s="286">
        <f t="shared" si="61"/>
        <v>0</v>
      </c>
      <c r="BI101" s="296" t="str">
        <f>IF(ISERROR(BH101/BH153),"",BH101/BH153)</f>
        <v/>
      </c>
      <c r="BJ101" s="231">
        <f t="shared" si="62"/>
        <v>0</v>
      </c>
      <c r="BK101" s="296" t="str">
        <f>IF(ISERROR(BJ101/BJ153),"",BJ101/BJ153)</f>
        <v/>
      </c>
      <c r="BL101" s="231">
        <f t="shared" si="104"/>
        <v>0</v>
      </c>
      <c r="BM101" s="102"/>
      <c r="BN101" s="99"/>
      <c r="BO101" s="489">
        <f>IF(ISERROR(BP101*(BO153)),"",BP101*(BO153))</f>
        <v>0</v>
      </c>
      <c r="BP101" s="484"/>
      <c r="BQ101" s="371"/>
      <c r="BR101" s="359" t="str">
        <f>IF(ISERROR(BQ101/BQ153),"",BQ101/BQ153)</f>
        <v/>
      </c>
      <c r="BS101" s="358">
        <f t="shared" si="118"/>
        <v>0</v>
      </c>
      <c r="BT101" s="102"/>
      <c r="BU101" s="489">
        <f>IF(ISERROR(BV101*(BU153)),"",BV101*(BU153))</f>
        <v>0</v>
      </c>
      <c r="BV101" s="484"/>
      <c r="BW101" s="371"/>
      <c r="BX101" s="359" t="str">
        <f>IF(ISERROR(BW101/BW153),"",BW101/BW153)</f>
        <v/>
      </c>
      <c r="BY101" s="358">
        <f t="shared" si="119"/>
        <v>0</v>
      </c>
      <c r="BZ101" s="102"/>
      <c r="CA101" s="489">
        <f>IF(ISERROR(CB101*(CA153)),"",CB101*(CA153))</f>
        <v>0</v>
      </c>
      <c r="CB101" s="484"/>
      <c r="CC101" s="371"/>
      <c r="CD101" s="359" t="str">
        <f>IF(ISERROR(CC101/CC153),"",CC101/CC153)</f>
        <v/>
      </c>
      <c r="CE101" s="358">
        <f t="shared" si="120"/>
        <v>0</v>
      </c>
      <c r="CF101" s="102"/>
      <c r="CG101" s="286">
        <f t="shared" si="67"/>
        <v>0</v>
      </c>
      <c r="CH101" s="296" t="str">
        <f>IF(ISERROR(CG101/CG153),"",CG101/CG153)</f>
        <v/>
      </c>
      <c r="CI101" s="231">
        <f t="shared" si="68"/>
        <v>0</v>
      </c>
      <c r="CJ101" s="296" t="str">
        <f>IF(ISERROR(CI101/CI153),"",CI101/CI153)</f>
        <v/>
      </c>
      <c r="CK101" s="231">
        <f t="shared" si="108"/>
        <v>0</v>
      </c>
      <c r="CL101" s="102"/>
      <c r="CM101" s="100"/>
      <c r="CN101" s="489">
        <f>IF(ISERROR(CO101*(CN153)),"",CO101*(CN153))</f>
        <v>0</v>
      </c>
      <c r="CO101" s="484"/>
      <c r="CP101" s="371"/>
      <c r="CQ101" s="359" t="str">
        <f>IF(ISERROR(CP101/CP153),"",CP101/CP153)</f>
        <v/>
      </c>
      <c r="CR101" s="358">
        <f t="shared" si="121"/>
        <v>0</v>
      </c>
      <c r="CS101" s="102"/>
      <c r="CT101" s="489">
        <f>IF(ISERROR(CU101*(CT153)),"",CU101*(CT153))</f>
        <v>0</v>
      </c>
      <c r="CU101" s="484"/>
      <c r="CV101" s="371"/>
      <c r="CW101" s="359" t="str">
        <f>IF(ISERROR(CV101/CV153),"",CV101/CV153)</f>
        <v/>
      </c>
      <c r="CX101" s="358">
        <f t="shared" si="122"/>
        <v>0</v>
      </c>
      <c r="CY101" s="102"/>
      <c r="CZ101" s="489">
        <f>IF(ISERROR(DA101*(CZ153)),"",DA101*(CZ153))</f>
        <v>0</v>
      </c>
      <c r="DA101" s="484"/>
      <c r="DB101" s="371"/>
      <c r="DC101" s="359" t="str">
        <f>IF(ISERROR(DB101/DB153),"",DB101/DB153)</f>
        <v/>
      </c>
      <c r="DD101" s="358">
        <f t="shared" si="123"/>
        <v>0</v>
      </c>
      <c r="DE101" s="102"/>
      <c r="DF101" s="286">
        <f t="shared" si="73"/>
        <v>0</v>
      </c>
      <c r="DG101" s="296" t="str">
        <f>IF(ISERROR(DF101/DF153),"",DF101/DF153)</f>
        <v/>
      </c>
      <c r="DH101" s="231">
        <f t="shared" si="74"/>
        <v>0</v>
      </c>
      <c r="DI101" s="296" t="str">
        <f>IF(ISERROR(DH101/DH153),"",DH101/DH153)</f>
        <v/>
      </c>
      <c r="DJ101" s="231">
        <f t="shared" si="112"/>
        <v>0</v>
      </c>
      <c r="DK101" s="8"/>
    </row>
    <row r="102" spans="1:115" s="3" customFormat="1" ht="21.75" customHeight="1" outlineLevel="1" thickTop="1" thickBot="1" x14ac:dyDescent="0.3">
      <c r="A102" s="80">
        <v>93</v>
      </c>
      <c r="B102" s="618"/>
      <c r="C102" s="624"/>
      <c r="D102" s="625"/>
      <c r="E102" s="626" t="s">
        <v>56</v>
      </c>
      <c r="F102" s="626"/>
      <c r="G102" s="626"/>
      <c r="H102" s="626"/>
      <c r="I102" s="627"/>
      <c r="J102" s="264">
        <f t="shared" si="93"/>
        <v>0</v>
      </c>
      <c r="K102" s="307" t="str">
        <f>IF(ISERROR(J102/J153-J14),"",J102/J153-J14)</f>
        <v/>
      </c>
      <c r="L102" s="265">
        <f t="shared" si="94"/>
        <v>0</v>
      </c>
      <c r="M102" s="307" t="str">
        <f>IF(ISERROR(L102/L153-L14),"",L102/L153-L14)</f>
        <v/>
      </c>
      <c r="N102" s="224">
        <f t="shared" si="49"/>
        <v>0</v>
      </c>
      <c r="O102" s="63" t="e">
        <f t="shared" si="95"/>
        <v>#VALUE!</v>
      </c>
      <c r="P102" s="47"/>
      <c r="Q102" s="417">
        <f>Q97+Q99+Q100+Q101</f>
        <v>0</v>
      </c>
      <c r="R102" s="421" t="str">
        <f>IF(ISERROR(Q102/Q153-Q14),"",Q102/Q153-Q14)</f>
        <v/>
      </c>
      <c r="S102" s="419">
        <f>S97+S99+S100+S101</f>
        <v>0</v>
      </c>
      <c r="T102" s="418" t="str">
        <f>IF(ISERROR(S102/S153-S14),"",S102/S153-S14)</f>
        <v/>
      </c>
      <c r="U102" s="419">
        <f t="shared" si="96"/>
        <v>0</v>
      </c>
      <c r="V102" s="141"/>
      <c r="W102" s="417">
        <f>W97+W99+W100+W101</f>
        <v>0</v>
      </c>
      <c r="X102" s="421" t="str">
        <f>IF(ISERROR(W102/W153-W14),"",W102/W153-W14)</f>
        <v/>
      </c>
      <c r="Y102" s="419">
        <f>Y97+Y99+Y100+Y101</f>
        <v>0</v>
      </c>
      <c r="Z102" s="418" t="str">
        <f>IF(ISERROR(Y102/Y153-Y14),"",Y102/Y153-Y14)</f>
        <v/>
      </c>
      <c r="AA102" s="419">
        <f t="shared" si="113"/>
        <v>0</v>
      </c>
      <c r="AB102" s="141"/>
      <c r="AC102" s="417">
        <f>AC97+AC99+AC100+AC101</f>
        <v>0</v>
      </c>
      <c r="AD102" s="421" t="str">
        <f>IF(ISERROR(AC102/AC153-AC14),"",AC102/AC153-AC14)</f>
        <v/>
      </c>
      <c r="AE102" s="419">
        <f>AE97+AE99+AE100+AE101</f>
        <v>0</v>
      </c>
      <c r="AF102" s="418" t="str">
        <f>IF(ISERROR(AE102/AE153-AE14),"",AE102/AE153-AE14)</f>
        <v/>
      </c>
      <c r="AG102" s="419">
        <f t="shared" si="114"/>
        <v>0</v>
      </c>
      <c r="AH102" s="140" t="e">
        <f t="shared" si="99"/>
        <v>#VALUE!</v>
      </c>
      <c r="AI102" s="264">
        <f t="shared" si="55"/>
        <v>0</v>
      </c>
      <c r="AJ102" s="307" t="str">
        <f>IF(ISERROR(AI102/AI153-AI14),"",AI102/AI153-AI14)</f>
        <v/>
      </c>
      <c r="AK102" s="265">
        <f t="shared" si="56"/>
        <v>0</v>
      </c>
      <c r="AL102" s="307" t="str">
        <f>IF(ISERROR(AK102/AK153-AK14),"",AK102/AK153-AK14)</f>
        <v/>
      </c>
      <c r="AM102" s="265">
        <f t="shared" si="100"/>
        <v>0</v>
      </c>
      <c r="AN102" s="141"/>
      <c r="AO102" s="99"/>
      <c r="AP102" s="417">
        <f>AP97+AP99+AP100+AP101</f>
        <v>0</v>
      </c>
      <c r="AQ102" s="421" t="str">
        <f>IF(ISERROR(AP102/AP153-AP14),"",AP102/AP153-AP14)</f>
        <v/>
      </c>
      <c r="AR102" s="419">
        <f>AR97+AR99+AR100+AR101</f>
        <v>0</v>
      </c>
      <c r="AS102" s="418" t="str">
        <f>IF(ISERROR(AR102/AR153-AR14),"",AR102/AR153-AR14)</f>
        <v/>
      </c>
      <c r="AT102" s="419">
        <f t="shared" si="115"/>
        <v>0</v>
      </c>
      <c r="AU102" s="141"/>
      <c r="AV102" s="417">
        <f>AV97+AV99+AV100+AV101</f>
        <v>0</v>
      </c>
      <c r="AW102" s="421" t="str">
        <f>IF(ISERROR(AV102/AV153-AV14),"",AV102/AV153-AV14)</f>
        <v/>
      </c>
      <c r="AX102" s="419">
        <f>AX97+AX99+AX100+AX101</f>
        <v>0</v>
      </c>
      <c r="AY102" s="418" t="str">
        <f>IF(ISERROR(AX102/AX153-AX14),"",AX102/AX153-AX14)</f>
        <v/>
      </c>
      <c r="AZ102" s="419">
        <f t="shared" si="116"/>
        <v>0</v>
      </c>
      <c r="BA102" s="141"/>
      <c r="BB102" s="417">
        <f>BB97+BB99+BB100+BB101</f>
        <v>0</v>
      </c>
      <c r="BC102" s="421" t="str">
        <f>IF(ISERROR(BB102/BB153-BB14),"",BB102/BB153-BB14)</f>
        <v/>
      </c>
      <c r="BD102" s="419">
        <f>BD97+BD99+BD100+BD101</f>
        <v>0</v>
      </c>
      <c r="BE102" s="418" t="str">
        <f>IF(ISERROR(BD102/BD153-BD14),"",BD102/BD153-BD14)</f>
        <v/>
      </c>
      <c r="BF102" s="419">
        <f t="shared" si="117"/>
        <v>0</v>
      </c>
      <c r="BG102" s="141"/>
      <c r="BH102" s="264">
        <f t="shared" si="61"/>
        <v>0</v>
      </c>
      <c r="BI102" s="307" t="str">
        <f>IF(ISERROR(BH102/BH153-BH14),"",BH102/BH153-BH14)</f>
        <v/>
      </c>
      <c r="BJ102" s="265">
        <f t="shared" si="62"/>
        <v>0</v>
      </c>
      <c r="BK102" s="307" t="str">
        <f>IF(ISERROR(BJ102/BJ153-BJ14),"",BJ102/BJ153-BJ14)</f>
        <v/>
      </c>
      <c r="BL102" s="265">
        <f t="shared" si="104"/>
        <v>0</v>
      </c>
      <c r="BM102" s="141"/>
      <c r="BN102" s="99"/>
      <c r="BO102" s="417">
        <f>BO97+BO99+BO100+BO101</f>
        <v>0</v>
      </c>
      <c r="BP102" s="421" t="str">
        <f>IF(ISERROR(BO102/BO153-BO14),"",BO102/BO153-BO14)</f>
        <v/>
      </c>
      <c r="BQ102" s="419">
        <f>BQ97+BQ99+BQ100+BQ101</f>
        <v>0</v>
      </c>
      <c r="BR102" s="418" t="str">
        <f>IF(ISERROR(BQ102/BQ153-BQ14),"",BQ102/BQ153-BQ14)</f>
        <v/>
      </c>
      <c r="BS102" s="419">
        <f t="shared" si="118"/>
        <v>0</v>
      </c>
      <c r="BT102" s="141"/>
      <c r="BU102" s="417">
        <f>BU97+BU99+BU100+BU101</f>
        <v>0</v>
      </c>
      <c r="BV102" s="421" t="str">
        <f>IF(ISERROR(BU102/BU153-BU14),"",BU102/BU153-BU14)</f>
        <v/>
      </c>
      <c r="BW102" s="419">
        <f>BW97+BW99+BW100+BW101</f>
        <v>0</v>
      </c>
      <c r="BX102" s="418" t="str">
        <f>IF(ISERROR(BW102/BW153-BW14),"",BW102/BW153-BW14)</f>
        <v/>
      </c>
      <c r="BY102" s="419">
        <f t="shared" si="119"/>
        <v>0</v>
      </c>
      <c r="BZ102" s="141"/>
      <c r="CA102" s="417">
        <f>CA97+CA99+CA100+CA101</f>
        <v>0</v>
      </c>
      <c r="CB102" s="421" t="str">
        <f>IF(ISERROR(CA102/CA153-CA14),"",CA102/CA153-CA14)</f>
        <v/>
      </c>
      <c r="CC102" s="419">
        <f>CC97+CC99+CC100+CC101</f>
        <v>0</v>
      </c>
      <c r="CD102" s="418" t="str">
        <f>IF(ISERROR(CC102/CC153-CC14),"",CC102/CC153-CC14)</f>
        <v/>
      </c>
      <c r="CE102" s="419">
        <f t="shared" si="120"/>
        <v>0</v>
      </c>
      <c r="CF102" s="141"/>
      <c r="CG102" s="264">
        <f t="shared" si="67"/>
        <v>0</v>
      </c>
      <c r="CH102" s="307" t="str">
        <f>IF(ISERROR(CG102/CG153-CG14),"",CG102/CG153-CG14)</f>
        <v/>
      </c>
      <c r="CI102" s="265">
        <f t="shared" si="68"/>
        <v>0</v>
      </c>
      <c r="CJ102" s="307" t="str">
        <f>IF(ISERROR(CI102/CI153-CI14),"",CI102/CI153-CI14)</f>
        <v/>
      </c>
      <c r="CK102" s="265">
        <f t="shared" si="108"/>
        <v>0</v>
      </c>
      <c r="CL102" s="141"/>
      <c r="CM102" s="100"/>
      <c r="CN102" s="417">
        <f>CN97+CN99+CN100+CN101</f>
        <v>0</v>
      </c>
      <c r="CO102" s="421" t="str">
        <f>IF(ISERROR(CN102/CN153-CN14),"",CN102/CN153-CN14)</f>
        <v/>
      </c>
      <c r="CP102" s="419">
        <f>CP97+CP99+CP100+CP101</f>
        <v>0</v>
      </c>
      <c r="CQ102" s="418" t="str">
        <f>IF(ISERROR(CP102/CP153-CP14),"",CP102/CP153-CP14)</f>
        <v/>
      </c>
      <c r="CR102" s="419">
        <f t="shared" si="121"/>
        <v>0</v>
      </c>
      <c r="CS102" s="141"/>
      <c r="CT102" s="417">
        <f>CT97+CT99+CT100+CT101</f>
        <v>0</v>
      </c>
      <c r="CU102" s="421" t="str">
        <f>IF(ISERROR(CT102/CT153-CT14),"",CT102/CT153-CT14)</f>
        <v/>
      </c>
      <c r="CV102" s="419">
        <f>CV97+CV99+CV100+CV101</f>
        <v>0</v>
      </c>
      <c r="CW102" s="418" t="str">
        <f>IF(ISERROR(CV102/CV153-CV14),"",CV102/CV153-CV14)</f>
        <v/>
      </c>
      <c r="CX102" s="419">
        <f t="shared" si="122"/>
        <v>0</v>
      </c>
      <c r="CY102" s="141"/>
      <c r="CZ102" s="417">
        <f>CZ97+CZ99+CZ100+CZ101</f>
        <v>0</v>
      </c>
      <c r="DA102" s="421" t="str">
        <f>IF(ISERROR(CZ102/CZ153-CZ14),"",CZ102/CZ153-CZ14)</f>
        <v/>
      </c>
      <c r="DB102" s="419">
        <f>DB97+DB99+DB100+DB101</f>
        <v>0</v>
      </c>
      <c r="DC102" s="418" t="str">
        <f>IF(ISERROR(DB102/DB153-DB14),"",DB102/DB153-DB14)</f>
        <v/>
      </c>
      <c r="DD102" s="419">
        <f t="shared" si="123"/>
        <v>0</v>
      </c>
      <c r="DE102" s="141"/>
      <c r="DF102" s="264">
        <f t="shared" si="73"/>
        <v>0</v>
      </c>
      <c r="DG102" s="307" t="str">
        <f>IF(ISERROR(DF102/DF153-DF14),"",DF102/DF153-DF14)</f>
        <v/>
      </c>
      <c r="DH102" s="265">
        <f t="shared" si="74"/>
        <v>0</v>
      </c>
      <c r="DI102" s="307" t="str">
        <f>IF(ISERROR(DH102/DH153-DH14),"",DH102/DH153-DH14)</f>
        <v/>
      </c>
      <c r="DJ102" s="265">
        <f t="shared" si="112"/>
        <v>0</v>
      </c>
      <c r="DK102" s="25"/>
    </row>
    <row r="103" spans="1:115" s="3" customFormat="1" ht="21.75" customHeight="1" outlineLevel="1" thickTop="1" x14ac:dyDescent="0.25">
      <c r="A103" s="80">
        <v>94</v>
      </c>
      <c r="B103" s="618"/>
      <c r="C103" s="620" t="s">
        <v>101</v>
      </c>
      <c r="D103" s="621"/>
      <c r="E103" s="606" t="s">
        <v>102</v>
      </c>
      <c r="F103" s="607"/>
      <c r="G103" s="607"/>
      <c r="H103" s="607"/>
      <c r="I103" s="608"/>
      <c r="J103" s="228">
        <f t="shared" si="93"/>
        <v>0</v>
      </c>
      <c r="K103" s="295" t="str">
        <f>IF(ISERROR(J103/J153),"",J103/J153)</f>
        <v/>
      </c>
      <c r="L103" s="229">
        <f t="shared" si="94"/>
        <v>0</v>
      </c>
      <c r="M103" s="295" t="str">
        <f>IF(ISERROR(L103/L153),"",L103/L153)</f>
        <v/>
      </c>
      <c r="N103" s="206">
        <f t="shared" si="49"/>
        <v>0</v>
      </c>
      <c r="O103" s="43" t="e">
        <f t="shared" si="95"/>
        <v>#VALUE!</v>
      </c>
      <c r="P103" s="47"/>
      <c r="Q103" s="469"/>
      <c r="R103" s="415" t="str">
        <f>IF(ISERROR(Q103/Q153),"",Q103/Q153)</f>
        <v/>
      </c>
      <c r="S103" s="375"/>
      <c r="T103" s="356" t="str">
        <f>IF(ISERROR(S103/S153),"",S103/S153)</f>
        <v/>
      </c>
      <c r="U103" s="355">
        <f t="shared" si="96"/>
        <v>0</v>
      </c>
      <c r="V103" s="96"/>
      <c r="W103" s="469"/>
      <c r="X103" s="415" t="str">
        <f>IF(ISERROR(W103/W153),"",W103/W153)</f>
        <v/>
      </c>
      <c r="Y103" s="375"/>
      <c r="Z103" s="356" t="str">
        <f>IF(ISERROR(Y103/Y153),"",Y103/Y153)</f>
        <v/>
      </c>
      <c r="AA103" s="355">
        <f t="shared" si="113"/>
        <v>0</v>
      </c>
      <c r="AB103" s="96"/>
      <c r="AC103" s="469"/>
      <c r="AD103" s="415" t="str">
        <f>IF(ISERROR(AC103/AC153),"",AC103/AC153)</f>
        <v/>
      </c>
      <c r="AE103" s="375"/>
      <c r="AF103" s="356" t="str">
        <f>IF(ISERROR(AE103/AE153),"",AE103/AE153)</f>
        <v/>
      </c>
      <c r="AG103" s="355">
        <f t="shared" si="114"/>
        <v>0</v>
      </c>
      <c r="AH103" s="97" t="e">
        <f t="shared" si="99"/>
        <v>#VALUE!</v>
      </c>
      <c r="AI103" s="285">
        <f t="shared" si="55"/>
        <v>0</v>
      </c>
      <c r="AJ103" s="295" t="str">
        <f>IF(ISERROR(AI103/AI153),"",AI103/AI153)</f>
        <v/>
      </c>
      <c r="AK103" s="229">
        <f t="shared" si="56"/>
        <v>0</v>
      </c>
      <c r="AL103" s="295" t="str">
        <f>IF(ISERROR(AK103/AK153),"",AK103/AK153)</f>
        <v/>
      </c>
      <c r="AM103" s="229">
        <f t="shared" si="100"/>
        <v>0</v>
      </c>
      <c r="AN103" s="96"/>
      <c r="AO103" s="99"/>
      <c r="AP103" s="469"/>
      <c r="AQ103" s="415" t="str">
        <f>IF(ISERROR(AP103/AP153),"",AP103/AP153)</f>
        <v/>
      </c>
      <c r="AR103" s="375"/>
      <c r="AS103" s="356" t="str">
        <f>IF(ISERROR(AR103/AR153),"",AR103/AR153)</f>
        <v/>
      </c>
      <c r="AT103" s="355">
        <f t="shared" si="115"/>
        <v>0</v>
      </c>
      <c r="AU103" s="96"/>
      <c r="AV103" s="469"/>
      <c r="AW103" s="415" t="str">
        <f>IF(ISERROR(AV103/AV153),"",AV103/AV153)</f>
        <v/>
      </c>
      <c r="AX103" s="375"/>
      <c r="AY103" s="356" t="str">
        <f>IF(ISERROR(AX103/AX153),"",AX103/AX153)</f>
        <v/>
      </c>
      <c r="AZ103" s="355">
        <f t="shared" si="116"/>
        <v>0</v>
      </c>
      <c r="BA103" s="96"/>
      <c r="BB103" s="469"/>
      <c r="BC103" s="415" t="str">
        <f>IF(ISERROR(BB103/BB153),"",BB103/BB153)</f>
        <v/>
      </c>
      <c r="BD103" s="375"/>
      <c r="BE103" s="356" t="str">
        <f>IF(ISERROR(BD103/BD153),"",BD103/BD153)</f>
        <v/>
      </c>
      <c r="BF103" s="355">
        <f t="shared" si="117"/>
        <v>0</v>
      </c>
      <c r="BG103" s="96"/>
      <c r="BH103" s="285">
        <f t="shared" si="61"/>
        <v>0</v>
      </c>
      <c r="BI103" s="295" t="str">
        <f>IF(ISERROR(BH103/BH153),"",BH103/BH153)</f>
        <v/>
      </c>
      <c r="BJ103" s="229">
        <f t="shared" si="62"/>
        <v>0</v>
      </c>
      <c r="BK103" s="295" t="str">
        <f>IF(ISERROR(BJ103/BJ153),"",BJ103/BJ153)</f>
        <v/>
      </c>
      <c r="BL103" s="229">
        <f t="shared" si="104"/>
        <v>0</v>
      </c>
      <c r="BM103" s="96"/>
      <c r="BN103" s="99"/>
      <c r="BO103" s="469"/>
      <c r="BP103" s="415" t="str">
        <f>IF(ISERROR(BO103/BO153),"",BO103/BO153)</f>
        <v/>
      </c>
      <c r="BQ103" s="375"/>
      <c r="BR103" s="356" t="str">
        <f>IF(ISERROR(BQ103/BQ153),"",BQ103/BQ153)</f>
        <v/>
      </c>
      <c r="BS103" s="355">
        <f t="shared" si="118"/>
        <v>0</v>
      </c>
      <c r="BT103" s="96"/>
      <c r="BU103" s="469"/>
      <c r="BV103" s="415" t="str">
        <f>IF(ISERROR(BU103/BU153),"",BU103/BU153)</f>
        <v/>
      </c>
      <c r="BW103" s="375"/>
      <c r="BX103" s="356" t="str">
        <f>IF(ISERROR(BW103/BW153),"",BW103/BW153)</f>
        <v/>
      </c>
      <c r="BY103" s="355">
        <f t="shared" si="119"/>
        <v>0</v>
      </c>
      <c r="BZ103" s="96"/>
      <c r="CA103" s="469"/>
      <c r="CB103" s="415" t="str">
        <f>IF(ISERROR(CA103/CA153),"",CA103/CA153)</f>
        <v/>
      </c>
      <c r="CC103" s="375"/>
      <c r="CD103" s="356" t="str">
        <f>IF(ISERROR(CC103/CC153),"",CC103/CC153)</f>
        <v/>
      </c>
      <c r="CE103" s="355">
        <f t="shared" si="120"/>
        <v>0</v>
      </c>
      <c r="CF103" s="96"/>
      <c r="CG103" s="285">
        <f t="shared" si="67"/>
        <v>0</v>
      </c>
      <c r="CH103" s="295" t="str">
        <f>IF(ISERROR(CG103/CG153),"",CG103/CG153)</f>
        <v/>
      </c>
      <c r="CI103" s="229">
        <f t="shared" si="68"/>
        <v>0</v>
      </c>
      <c r="CJ103" s="295" t="str">
        <f>IF(ISERROR(CI103/CI153),"",CI103/CI153)</f>
        <v/>
      </c>
      <c r="CK103" s="229">
        <f t="shared" si="108"/>
        <v>0</v>
      </c>
      <c r="CL103" s="96"/>
      <c r="CM103" s="100"/>
      <c r="CN103" s="469"/>
      <c r="CO103" s="415" t="str">
        <f>IF(ISERROR(CN103/CN153),"",CN103/CN153)</f>
        <v/>
      </c>
      <c r="CP103" s="375"/>
      <c r="CQ103" s="356" t="str">
        <f>IF(ISERROR(CP103/CP153),"",CP103/CP153)</f>
        <v/>
      </c>
      <c r="CR103" s="355">
        <f t="shared" si="121"/>
        <v>0</v>
      </c>
      <c r="CS103" s="96"/>
      <c r="CT103" s="469"/>
      <c r="CU103" s="415" t="str">
        <f>IF(ISERROR(CT103/CT153),"",CT103/CT153)</f>
        <v/>
      </c>
      <c r="CV103" s="375"/>
      <c r="CW103" s="356" t="str">
        <f>IF(ISERROR(CV103/CV153),"",CV103/CV153)</f>
        <v/>
      </c>
      <c r="CX103" s="355">
        <f t="shared" si="122"/>
        <v>0</v>
      </c>
      <c r="CY103" s="96"/>
      <c r="CZ103" s="469"/>
      <c r="DA103" s="415" t="str">
        <f>IF(ISERROR(CZ103/CZ153),"",CZ103/CZ153)</f>
        <v/>
      </c>
      <c r="DB103" s="375"/>
      <c r="DC103" s="356" t="str">
        <f>IF(ISERROR(DB103/DB153),"",DB103/DB153)</f>
        <v/>
      </c>
      <c r="DD103" s="355">
        <f t="shared" si="123"/>
        <v>0</v>
      </c>
      <c r="DE103" s="96"/>
      <c r="DF103" s="285">
        <f t="shared" si="73"/>
        <v>0</v>
      </c>
      <c r="DG103" s="295" t="str">
        <f>IF(ISERROR(DF103/DF153),"",DF103/DF153)</f>
        <v/>
      </c>
      <c r="DH103" s="229">
        <f t="shared" si="74"/>
        <v>0</v>
      </c>
      <c r="DI103" s="295" t="str">
        <f>IF(ISERROR(DH103/DH153),"",DH103/DH153)</f>
        <v/>
      </c>
      <c r="DJ103" s="229">
        <f t="shared" si="112"/>
        <v>0</v>
      </c>
      <c r="DK103" s="7"/>
    </row>
    <row r="104" spans="1:115" s="3" customFormat="1" ht="21.75" customHeight="1" outlineLevel="1" x14ac:dyDescent="0.25">
      <c r="A104" s="80">
        <v>95</v>
      </c>
      <c r="B104" s="618"/>
      <c r="C104" s="622"/>
      <c r="D104" s="623"/>
      <c r="E104" s="609" t="s">
        <v>103</v>
      </c>
      <c r="F104" s="610"/>
      <c r="G104" s="610"/>
      <c r="H104" s="610"/>
      <c r="I104" s="611"/>
      <c r="J104" s="230">
        <f t="shared" si="93"/>
        <v>0</v>
      </c>
      <c r="K104" s="296" t="str">
        <f>IF(ISERROR(J104/J153),"",J104/J153)</f>
        <v/>
      </c>
      <c r="L104" s="231">
        <f t="shared" si="94"/>
        <v>0</v>
      </c>
      <c r="M104" s="296" t="str">
        <f>IF(ISERROR(L104/L153),"",L104/L153)</f>
        <v/>
      </c>
      <c r="N104" s="207">
        <f t="shared" si="49"/>
        <v>0</v>
      </c>
      <c r="O104" s="45" t="e">
        <f t="shared" si="95"/>
        <v>#VALUE!</v>
      </c>
      <c r="P104" s="47"/>
      <c r="Q104" s="471"/>
      <c r="R104" s="416" t="str">
        <f>IF(ISERROR(Q104/Q153),"",Q104/Q153)</f>
        <v/>
      </c>
      <c r="S104" s="371"/>
      <c r="T104" s="359" t="str">
        <f>IF(ISERROR(S104/S153),"",S104/S153)</f>
        <v/>
      </c>
      <c r="U104" s="358">
        <f t="shared" si="96"/>
        <v>0</v>
      </c>
      <c r="V104" s="102"/>
      <c r="W104" s="471"/>
      <c r="X104" s="416" t="str">
        <f>IF(ISERROR(W104/W153),"",W104/W153)</f>
        <v/>
      </c>
      <c r="Y104" s="371"/>
      <c r="Z104" s="359" t="str">
        <f>IF(ISERROR(Y104/Y153),"",Y104/Y153)</f>
        <v/>
      </c>
      <c r="AA104" s="358">
        <f t="shared" si="113"/>
        <v>0</v>
      </c>
      <c r="AB104" s="102"/>
      <c r="AC104" s="471"/>
      <c r="AD104" s="416" t="str">
        <f>IF(ISERROR(AC104/AC153),"",AC104/AC153)</f>
        <v/>
      </c>
      <c r="AE104" s="371"/>
      <c r="AF104" s="359" t="str">
        <f>IF(ISERROR(AE104/AE153),"",AE104/AE153)</f>
        <v/>
      </c>
      <c r="AG104" s="358">
        <f t="shared" si="114"/>
        <v>0</v>
      </c>
      <c r="AH104" s="103" t="e">
        <f t="shared" si="99"/>
        <v>#VALUE!</v>
      </c>
      <c r="AI104" s="286">
        <f t="shared" si="55"/>
        <v>0</v>
      </c>
      <c r="AJ104" s="296" t="str">
        <f>IF(ISERROR(AI104/AI153),"",AI104/AI153)</f>
        <v/>
      </c>
      <c r="AK104" s="231">
        <f t="shared" si="56"/>
        <v>0</v>
      </c>
      <c r="AL104" s="296" t="str">
        <f>IF(ISERROR(AK104/AK153),"",AK104/AK153)</f>
        <v/>
      </c>
      <c r="AM104" s="231">
        <f t="shared" si="100"/>
        <v>0</v>
      </c>
      <c r="AN104" s="102"/>
      <c r="AO104" s="99"/>
      <c r="AP104" s="471"/>
      <c r="AQ104" s="416" t="str">
        <f>IF(ISERROR(AP104/AP153),"",AP104/AP153)</f>
        <v/>
      </c>
      <c r="AR104" s="371"/>
      <c r="AS104" s="359" t="str">
        <f>IF(ISERROR(AR104/AR153),"",AR104/AR153)</f>
        <v/>
      </c>
      <c r="AT104" s="358">
        <f t="shared" si="115"/>
        <v>0</v>
      </c>
      <c r="AU104" s="102"/>
      <c r="AV104" s="471"/>
      <c r="AW104" s="416" t="str">
        <f>IF(ISERROR(AV104/AV153),"",AV104/AV153)</f>
        <v/>
      </c>
      <c r="AX104" s="371"/>
      <c r="AY104" s="359" t="str">
        <f>IF(ISERROR(AX104/AX153),"",AX104/AX153)</f>
        <v/>
      </c>
      <c r="AZ104" s="358">
        <f t="shared" si="116"/>
        <v>0</v>
      </c>
      <c r="BA104" s="102"/>
      <c r="BB104" s="471"/>
      <c r="BC104" s="416" t="str">
        <f>IF(ISERROR(BB104/BB153),"",BB104/BB153)</f>
        <v/>
      </c>
      <c r="BD104" s="371"/>
      <c r="BE104" s="359" t="str">
        <f>IF(ISERROR(BD104/BD153),"",BD104/BD153)</f>
        <v/>
      </c>
      <c r="BF104" s="358">
        <f t="shared" si="117"/>
        <v>0</v>
      </c>
      <c r="BG104" s="102"/>
      <c r="BH104" s="286">
        <f t="shared" si="61"/>
        <v>0</v>
      </c>
      <c r="BI104" s="296" t="str">
        <f>IF(ISERROR(BH104/BH153),"",BH104/BH153)</f>
        <v/>
      </c>
      <c r="BJ104" s="231">
        <f t="shared" si="62"/>
        <v>0</v>
      </c>
      <c r="BK104" s="296" t="str">
        <f>IF(ISERROR(BJ104/BJ153),"",BJ104/BJ153)</f>
        <v/>
      </c>
      <c r="BL104" s="231">
        <f t="shared" si="104"/>
        <v>0</v>
      </c>
      <c r="BM104" s="102"/>
      <c r="BN104" s="99"/>
      <c r="BO104" s="471"/>
      <c r="BP104" s="416" t="str">
        <f>IF(ISERROR(BO104/BO153),"",BO104/BO153)</f>
        <v/>
      </c>
      <c r="BQ104" s="371"/>
      <c r="BR104" s="359" t="str">
        <f>IF(ISERROR(BQ104/BQ153),"",BQ104/BQ153)</f>
        <v/>
      </c>
      <c r="BS104" s="358">
        <f t="shared" si="118"/>
        <v>0</v>
      </c>
      <c r="BT104" s="102"/>
      <c r="BU104" s="471"/>
      <c r="BV104" s="416" t="str">
        <f>IF(ISERROR(BU104/BU153),"",BU104/BU153)</f>
        <v/>
      </c>
      <c r="BW104" s="371"/>
      <c r="BX104" s="359" t="str">
        <f>IF(ISERROR(BW104/BW153),"",BW104/BW153)</f>
        <v/>
      </c>
      <c r="BY104" s="358">
        <f t="shared" si="119"/>
        <v>0</v>
      </c>
      <c r="BZ104" s="102"/>
      <c r="CA104" s="471"/>
      <c r="CB104" s="416" t="str">
        <f>IF(ISERROR(CA104/CA153),"",CA104/CA153)</f>
        <v/>
      </c>
      <c r="CC104" s="371"/>
      <c r="CD104" s="359" t="str">
        <f>IF(ISERROR(CC104/CC153),"",CC104/CC153)</f>
        <v/>
      </c>
      <c r="CE104" s="358">
        <f t="shared" si="120"/>
        <v>0</v>
      </c>
      <c r="CF104" s="102"/>
      <c r="CG104" s="286">
        <f t="shared" si="67"/>
        <v>0</v>
      </c>
      <c r="CH104" s="296" t="str">
        <f>IF(ISERROR(CG104/CG153),"",CG104/CG153)</f>
        <v/>
      </c>
      <c r="CI104" s="231">
        <f t="shared" si="68"/>
        <v>0</v>
      </c>
      <c r="CJ104" s="296" t="str">
        <f>IF(ISERROR(CI104/CI153),"",CI104/CI153)</f>
        <v/>
      </c>
      <c r="CK104" s="231">
        <f t="shared" si="108"/>
        <v>0</v>
      </c>
      <c r="CL104" s="102"/>
      <c r="CM104" s="100"/>
      <c r="CN104" s="471"/>
      <c r="CO104" s="416" t="str">
        <f>IF(ISERROR(CN104/CN153),"",CN104/CN153)</f>
        <v/>
      </c>
      <c r="CP104" s="371"/>
      <c r="CQ104" s="359" t="str">
        <f>IF(ISERROR(CP104/CP153),"",CP104/CP153)</f>
        <v/>
      </c>
      <c r="CR104" s="358">
        <f t="shared" si="121"/>
        <v>0</v>
      </c>
      <c r="CS104" s="102"/>
      <c r="CT104" s="471"/>
      <c r="CU104" s="416" t="str">
        <f>IF(ISERROR(CT104/CT153),"",CT104/CT153)</f>
        <v/>
      </c>
      <c r="CV104" s="371"/>
      <c r="CW104" s="359" t="str">
        <f>IF(ISERROR(CV104/CV153),"",CV104/CV153)</f>
        <v/>
      </c>
      <c r="CX104" s="358">
        <f t="shared" si="122"/>
        <v>0</v>
      </c>
      <c r="CY104" s="102"/>
      <c r="CZ104" s="471"/>
      <c r="DA104" s="416" t="str">
        <f>IF(ISERROR(CZ104/CZ153),"",CZ104/CZ153)</f>
        <v/>
      </c>
      <c r="DB104" s="371"/>
      <c r="DC104" s="359" t="str">
        <f>IF(ISERROR(DB104/DB153),"",DB104/DB153)</f>
        <v/>
      </c>
      <c r="DD104" s="358">
        <f t="shared" si="123"/>
        <v>0</v>
      </c>
      <c r="DE104" s="102"/>
      <c r="DF104" s="286">
        <f t="shared" si="73"/>
        <v>0</v>
      </c>
      <c r="DG104" s="296" t="str">
        <f>IF(ISERROR(DF104/DF153),"",DF104/DF153)</f>
        <v/>
      </c>
      <c r="DH104" s="231">
        <f t="shared" si="74"/>
        <v>0</v>
      </c>
      <c r="DI104" s="296" t="str">
        <f>IF(ISERROR(DH104/DH153),"",DH104/DH153)</f>
        <v/>
      </c>
      <c r="DJ104" s="231">
        <f t="shared" si="112"/>
        <v>0</v>
      </c>
      <c r="DK104" s="8"/>
    </row>
    <row r="105" spans="1:115" s="3" customFormat="1" ht="21.75" customHeight="1" outlineLevel="1" x14ac:dyDescent="0.25">
      <c r="A105" s="80">
        <v>96</v>
      </c>
      <c r="B105" s="618"/>
      <c r="C105" s="622"/>
      <c r="D105" s="623"/>
      <c r="E105" s="609" t="s">
        <v>104</v>
      </c>
      <c r="F105" s="610"/>
      <c r="G105" s="610"/>
      <c r="H105" s="610"/>
      <c r="I105" s="611"/>
      <c r="J105" s="230">
        <f t="shared" si="93"/>
        <v>0</v>
      </c>
      <c r="K105" s="296" t="str">
        <f>IF(ISERROR(J105/J153),"",J105/J153)</f>
        <v/>
      </c>
      <c r="L105" s="231">
        <f t="shared" si="94"/>
        <v>0</v>
      </c>
      <c r="M105" s="296" t="str">
        <f>IF(ISERROR(L105/L153),"",L105/L153)</f>
        <v/>
      </c>
      <c r="N105" s="207">
        <f t="shared" si="49"/>
        <v>0</v>
      </c>
      <c r="O105" s="45" t="e">
        <f t="shared" si="95"/>
        <v>#VALUE!</v>
      </c>
      <c r="P105" s="47"/>
      <c r="Q105" s="471"/>
      <c r="R105" s="416" t="str">
        <f>IF(ISERROR(Q105/Q153),"",Q105/Q153)</f>
        <v/>
      </c>
      <c r="S105" s="371"/>
      <c r="T105" s="359" t="str">
        <f>IF(ISERROR(S105/S153),"",S105/S153)</f>
        <v/>
      </c>
      <c r="U105" s="358">
        <f t="shared" si="96"/>
        <v>0</v>
      </c>
      <c r="V105" s="102"/>
      <c r="W105" s="471"/>
      <c r="X105" s="416" t="str">
        <f>IF(ISERROR(W105/W153),"",W105/W153)</f>
        <v/>
      </c>
      <c r="Y105" s="371"/>
      <c r="Z105" s="359" t="str">
        <f>IF(ISERROR(Y105/Y153),"",Y105/Y153)</f>
        <v/>
      </c>
      <c r="AA105" s="358">
        <f t="shared" si="113"/>
        <v>0</v>
      </c>
      <c r="AB105" s="102"/>
      <c r="AC105" s="471"/>
      <c r="AD105" s="416" t="str">
        <f>IF(ISERROR(AC105/AC153),"",AC105/AC153)</f>
        <v/>
      </c>
      <c r="AE105" s="371"/>
      <c r="AF105" s="359" t="str">
        <f>IF(ISERROR(AE105/AE153),"",AE105/AE153)</f>
        <v/>
      </c>
      <c r="AG105" s="358">
        <f t="shared" si="114"/>
        <v>0</v>
      </c>
      <c r="AH105" s="103" t="e">
        <f t="shared" si="99"/>
        <v>#VALUE!</v>
      </c>
      <c r="AI105" s="286">
        <f t="shared" si="55"/>
        <v>0</v>
      </c>
      <c r="AJ105" s="296" t="str">
        <f>IF(ISERROR(AI105/AI153),"",AI105/AI153)</f>
        <v/>
      </c>
      <c r="AK105" s="231">
        <f t="shared" si="56"/>
        <v>0</v>
      </c>
      <c r="AL105" s="296" t="str">
        <f>IF(ISERROR(AK105/AK153),"",AK105/AK153)</f>
        <v/>
      </c>
      <c r="AM105" s="231">
        <f t="shared" si="100"/>
        <v>0</v>
      </c>
      <c r="AN105" s="102"/>
      <c r="AO105" s="99"/>
      <c r="AP105" s="471"/>
      <c r="AQ105" s="416" t="str">
        <f>IF(ISERROR(AP105/AP153),"",AP105/AP153)</f>
        <v/>
      </c>
      <c r="AR105" s="371"/>
      <c r="AS105" s="359" t="str">
        <f>IF(ISERROR(AR105/AR153),"",AR105/AR153)</f>
        <v/>
      </c>
      <c r="AT105" s="358">
        <f t="shared" si="115"/>
        <v>0</v>
      </c>
      <c r="AU105" s="102"/>
      <c r="AV105" s="471"/>
      <c r="AW105" s="416" t="str">
        <f>IF(ISERROR(AV105/AV153),"",AV105/AV153)</f>
        <v/>
      </c>
      <c r="AX105" s="371"/>
      <c r="AY105" s="359" t="str">
        <f>IF(ISERROR(AX105/AX153),"",AX105/AX153)</f>
        <v/>
      </c>
      <c r="AZ105" s="358">
        <f t="shared" si="116"/>
        <v>0</v>
      </c>
      <c r="BA105" s="102"/>
      <c r="BB105" s="471"/>
      <c r="BC105" s="416" t="str">
        <f>IF(ISERROR(BB105/BB153),"",BB105/BB153)</f>
        <v/>
      </c>
      <c r="BD105" s="371"/>
      <c r="BE105" s="359" t="str">
        <f>IF(ISERROR(BD105/BD153),"",BD105/BD153)</f>
        <v/>
      </c>
      <c r="BF105" s="358">
        <f t="shared" si="117"/>
        <v>0</v>
      </c>
      <c r="BG105" s="102"/>
      <c r="BH105" s="286">
        <f t="shared" si="61"/>
        <v>0</v>
      </c>
      <c r="BI105" s="296" t="str">
        <f>IF(ISERROR(BH105/BH153),"",BH105/BH153)</f>
        <v/>
      </c>
      <c r="BJ105" s="231">
        <f t="shared" si="62"/>
        <v>0</v>
      </c>
      <c r="BK105" s="296" t="str">
        <f>IF(ISERROR(BJ105/BJ153),"",BJ105/BJ153)</f>
        <v/>
      </c>
      <c r="BL105" s="231">
        <f t="shared" si="104"/>
        <v>0</v>
      </c>
      <c r="BM105" s="102"/>
      <c r="BN105" s="99"/>
      <c r="BO105" s="471"/>
      <c r="BP105" s="416" t="str">
        <f>IF(ISERROR(BO105/BO153),"",BO105/BO153)</f>
        <v/>
      </c>
      <c r="BQ105" s="371"/>
      <c r="BR105" s="359" t="str">
        <f>IF(ISERROR(BQ105/BQ153),"",BQ105/BQ153)</f>
        <v/>
      </c>
      <c r="BS105" s="358">
        <f t="shared" si="118"/>
        <v>0</v>
      </c>
      <c r="BT105" s="102"/>
      <c r="BU105" s="471"/>
      <c r="BV105" s="416" t="str">
        <f>IF(ISERROR(BU105/BU153),"",BU105/BU153)</f>
        <v/>
      </c>
      <c r="BW105" s="371"/>
      <c r="BX105" s="359" t="str">
        <f>IF(ISERROR(BW105/BW153),"",BW105/BW153)</f>
        <v/>
      </c>
      <c r="BY105" s="358">
        <f t="shared" si="119"/>
        <v>0</v>
      </c>
      <c r="BZ105" s="102"/>
      <c r="CA105" s="471"/>
      <c r="CB105" s="416" t="str">
        <f>IF(ISERROR(CA105/CA153),"",CA105/CA153)</f>
        <v/>
      </c>
      <c r="CC105" s="371"/>
      <c r="CD105" s="359" t="str">
        <f>IF(ISERROR(CC105/CC153),"",CC105/CC153)</f>
        <v/>
      </c>
      <c r="CE105" s="358">
        <f t="shared" si="120"/>
        <v>0</v>
      </c>
      <c r="CF105" s="102"/>
      <c r="CG105" s="286">
        <f t="shared" si="67"/>
        <v>0</v>
      </c>
      <c r="CH105" s="296" t="str">
        <f>IF(ISERROR(CG105/CG153),"",CG105/CG153)</f>
        <v/>
      </c>
      <c r="CI105" s="231">
        <f t="shared" si="68"/>
        <v>0</v>
      </c>
      <c r="CJ105" s="296" t="str">
        <f>IF(ISERROR(CI105/CI153),"",CI105/CI153)</f>
        <v/>
      </c>
      <c r="CK105" s="231">
        <f t="shared" si="108"/>
        <v>0</v>
      </c>
      <c r="CL105" s="102"/>
      <c r="CM105" s="100"/>
      <c r="CN105" s="471"/>
      <c r="CO105" s="416" t="str">
        <f>IF(ISERROR(CN105/CN153),"",CN105/CN153)</f>
        <v/>
      </c>
      <c r="CP105" s="371"/>
      <c r="CQ105" s="359" t="str">
        <f>IF(ISERROR(CP105/CP153),"",CP105/CP153)</f>
        <v/>
      </c>
      <c r="CR105" s="358">
        <f t="shared" si="121"/>
        <v>0</v>
      </c>
      <c r="CS105" s="102"/>
      <c r="CT105" s="471"/>
      <c r="CU105" s="416" t="str">
        <f>IF(ISERROR(CT105/CT153),"",CT105/CT153)</f>
        <v/>
      </c>
      <c r="CV105" s="371"/>
      <c r="CW105" s="359" t="str">
        <f>IF(ISERROR(CV105/CV153),"",CV105/CV153)</f>
        <v/>
      </c>
      <c r="CX105" s="358">
        <f t="shared" si="122"/>
        <v>0</v>
      </c>
      <c r="CY105" s="102"/>
      <c r="CZ105" s="471"/>
      <c r="DA105" s="416" t="str">
        <f>IF(ISERROR(CZ105/CZ153),"",CZ105/CZ153)</f>
        <v/>
      </c>
      <c r="DB105" s="371"/>
      <c r="DC105" s="359" t="str">
        <f>IF(ISERROR(DB105/DB153),"",DB105/DB153)</f>
        <v/>
      </c>
      <c r="DD105" s="358">
        <f t="shared" si="123"/>
        <v>0</v>
      </c>
      <c r="DE105" s="102"/>
      <c r="DF105" s="286">
        <f t="shared" si="73"/>
        <v>0</v>
      </c>
      <c r="DG105" s="296" t="str">
        <f>IF(ISERROR(DF105/DF153),"",DF105/DF153)</f>
        <v/>
      </c>
      <c r="DH105" s="231">
        <f t="shared" si="74"/>
        <v>0</v>
      </c>
      <c r="DI105" s="296" t="str">
        <f>IF(ISERROR(DH105/DH153),"",DH105/DH153)</f>
        <v/>
      </c>
      <c r="DJ105" s="231">
        <f t="shared" si="112"/>
        <v>0</v>
      </c>
      <c r="DK105" s="8"/>
    </row>
    <row r="106" spans="1:115" s="3" customFormat="1" ht="21.75" customHeight="1" outlineLevel="1" x14ac:dyDescent="0.25">
      <c r="A106" s="80">
        <v>97</v>
      </c>
      <c r="B106" s="618"/>
      <c r="C106" s="622"/>
      <c r="D106" s="623"/>
      <c r="E106" s="609" t="s">
        <v>105</v>
      </c>
      <c r="F106" s="610"/>
      <c r="G106" s="610"/>
      <c r="H106" s="610"/>
      <c r="I106" s="611"/>
      <c r="J106" s="230">
        <f t="shared" si="93"/>
        <v>0</v>
      </c>
      <c r="K106" s="296" t="str">
        <f>IF(ISERROR(J106/J153),"",J106/J153)</f>
        <v/>
      </c>
      <c r="L106" s="231">
        <f t="shared" si="94"/>
        <v>0</v>
      </c>
      <c r="M106" s="296" t="str">
        <f>IF(ISERROR(L106/L153),"",L106/L153)</f>
        <v/>
      </c>
      <c r="N106" s="207">
        <f t="shared" si="49"/>
        <v>0</v>
      </c>
      <c r="O106" s="45" t="e">
        <f t="shared" si="95"/>
        <v>#VALUE!</v>
      </c>
      <c r="P106" s="47"/>
      <c r="Q106" s="471"/>
      <c r="R106" s="416" t="str">
        <f>IF(ISERROR(Q106/Q153),"",Q106/Q153)</f>
        <v/>
      </c>
      <c r="S106" s="371"/>
      <c r="T106" s="359" t="str">
        <f>IF(ISERROR(S106/S153),"",S106/S153)</f>
        <v/>
      </c>
      <c r="U106" s="358">
        <f t="shared" si="96"/>
        <v>0</v>
      </c>
      <c r="V106" s="102"/>
      <c r="W106" s="471"/>
      <c r="X106" s="416" t="str">
        <f>IF(ISERROR(W106/W153),"",W106/W153)</f>
        <v/>
      </c>
      <c r="Y106" s="371"/>
      <c r="Z106" s="359" t="str">
        <f>IF(ISERROR(Y106/Y153),"",Y106/Y153)</f>
        <v/>
      </c>
      <c r="AA106" s="358">
        <f t="shared" si="113"/>
        <v>0</v>
      </c>
      <c r="AB106" s="102"/>
      <c r="AC106" s="471"/>
      <c r="AD106" s="416" t="str">
        <f>IF(ISERROR(AC106/AC153),"",AC106/AC153)</f>
        <v/>
      </c>
      <c r="AE106" s="371"/>
      <c r="AF106" s="359" t="str">
        <f>IF(ISERROR(AE106/AE153),"",AE106/AE153)</f>
        <v/>
      </c>
      <c r="AG106" s="358">
        <f t="shared" si="114"/>
        <v>0</v>
      </c>
      <c r="AH106" s="103" t="e">
        <f t="shared" si="99"/>
        <v>#VALUE!</v>
      </c>
      <c r="AI106" s="286">
        <f t="shared" si="55"/>
        <v>0</v>
      </c>
      <c r="AJ106" s="296" t="str">
        <f>IF(ISERROR(AI106/AI153),"",AI106/AI153)</f>
        <v/>
      </c>
      <c r="AK106" s="231">
        <f t="shared" si="56"/>
        <v>0</v>
      </c>
      <c r="AL106" s="296" t="str">
        <f>IF(ISERROR(AK106/AK153),"",AK106/AK153)</f>
        <v/>
      </c>
      <c r="AM106" s="231">
        <f t="shared" si="100"/>
        <v>0</v>
      </c>
      <c r="AN106" s="102"/>
      <c r="AO106" s="99"/>
      <c r="AP106" s="471"/>
      <c r="AQ106" s="416" t="str">
        <f>IF(ISERROR(AP106/AP153),"",AP106/AP153)</f>
        <v/>
      </c>
      <c r="AR106" s="371"/>
      <c r="AS106" s="359" t="str">
        <f>IF(ISERROR(AR106/AR153),"",AR106/AR153)</f>
        <v/>
      </c>
      <c r="AT106" s="358">
        <f t="shared" si="115"/>
        <v>0</v>
      </c>
      <c r="AU106" s="102"/>
      <c r="AV106" s="471"/>
      <c r="AW106" s="416" t="str">
        <f>IF(ISERROR(AV106/AV153),"",AV106/AV153)</f>
        <v/>
      </c>
      <c r="AX106" s="371"/>
      <c r="AY106" s="359" t="str">
        <f>IF(ISERROR(AX106/AX153),"",AX106/AX153)</f>
        <v/>
      </c>
      <c r="AZ106" s="358">
        <f t="shared" si="116"/>
        <v>0</v>
      </c>
      <c r="BA106" s="102"/>
      <c r="BB106" s="471"/>
      <c r="BC106" s="416" t="str">
        <f>IF(ISERROR(BB106/BB153),"",BB106/BB153)</f>
        <v/>
      </c>
      <c r="BD106" s="371"/>
      <c r="BE106" s="359" t="str">
        <f>IF(ISERROR(BD106/BD153),"",BD106/BD153)</f>
        <v/>
      </c>
      <c r="BF106" s="358">
        <f t="shared" si="117"/>
        <v>0</v>
      </c>
      <c r="BG106" s="102"/>
      <c r="BH106" s="286">
        <f t="shared" si="61"/>
        <v>0</v>
      </c>
      <c r="BI106" s="296" t="str">
        <f>IF(ISERROR(BH106/BH153),"",BH106/BH153)</f>
        <v/>
      </c>
      <c r="BJ106" s="231">
        <f t="shared" si="62"/>
        <v>0</v>
      </c>
      <c r="BK106" s="296" t="str">
        <f>IF(ISERROR(BJ106/BJ153),"",BJ106/BJ153)</f>
        <v/>
      </c>
      <c r="BL106" s="231">
        <f t="shared" si="104"/>
        <v>0</v>
      </c>
      <c r="BM106" s="102"/>
      <c r="BN106" s="99"/>
      <c r="BO106" s="471"/>
      <c r="BP106" s="416" t="str">
        <f>IF(ISERROR(BO106/BO153),"",BO106/BO153)</f>
        <v/>
      </c>
      <c r="BQ106" s="371"/>
      <c r="BR106" s="359" t="str">
        <f>IF(ISERROR(BQ106/BQ153),"",BQ106/BQ153)</f>
        <v/>
      </c>
      <c r="BS106" s="358">
        <f t="shared" si="118"/>
        <v>0</v>
      </c>
      <c r="BT106" s="102"/>
      <c r="BU106" s="471"/>
      <c r="BV106" s="416" t="str">
        <f>IF(ISERROR(BU106/BU153),"",BU106/BU153)</f>
        <v/>
      </c>
      <c r="BW106" s="371"/>
      <c r="BX106" s="359" t="str">
        <f>IF(ISERROR(BW106/BW153),"",BW106/BW153)</f>
        <v/>
      </c>
      <c r="BY106" s="358">
        <f t="shared" si="119"/>
        <v>0</v>
      </c>
      <c r="BZ106" s="102"/>
      <c r="CA106" s="471"/>
      <c r="CB106" s="416" t="str">
        <f>IF(ISERROR(CA106/CA153),"",CA106/CA153)</f>
        <v/>
      </c>
      <c r="CC106" s="371"/>
      <c r="CD106" s="359" t="str">
        <f>IF(ISERROR(CC106/CC153),"",CC106/CC153)</f>
        <v/>
      </c>
      <c r="CE106" s="358">
        <f t="shared" si="120"/>
        <v>0</v>
      </c>
      <c r="CF106" s="102"/>
      <c r="CG106" s="286">
        <f t="shared" si="67"/>
        <v>0</v>
      </c>
      <c r="CH106" s="296" t="str">
        <f>IF(ISERROR(CG106/CG153),"",CG106/CG153)</f>
        <v/>
      </c>
      <c r="CI106" s="231">
        <f t="shared" si="68"/>
        <v>0</v>
      </c>
      <c r="CJ106" s="296" t="str">
        <f>IF(ISERROR(CI106/CI153),"",CI106/CI153)</f>
        <v/>
      </c>
      <c r="CK106" s="231">
        <f t="shared" si="108"/>
        <v>0</v>
      </c>
      <c r="CL106" s="102"/>
      <c r="CM106" s="100"/>
      <c r="CN106" s="471"/>
      <c r="CO106" s="416" t="str">
        <f>IF(ISERROR(CN106/CN153),"",CN106/CN153)</f>
        <v/>
      </c>
      <c r="CP106" s="371"/>
      <c r="CQ106" s="359" t="str">
        <f>IF(ISERROR(CP106/CP153),"",CP106/CP153)</f>
        <v/>
      </c>
      <c r="CR106" s="358">
        <f t="shared" si="121"/>
        <v>0</v>
      </c>
      <c r="CS106" s="102"/>
      <c r="CT106" s="471"/>
      <c r="CU106" s="416" t="str">
        <f>IF(ISERROR(CT106/CT153),"",CT106/CT153)</f>
        <v/>
      </c>
      <c r="CV106" s="371"/>
      <c r="CW106" s="359" t="str">
        <f>IF(ISERROR(CV106/CV153),"",CV106/CV153)</f>
        <v/>
      </c>
      <c r="CX106" s="358">
        <f t="shared" si="122"/>
        <v>0</v>
      </c>
      <c r="CY106" s="102"/>
      <c r="CZ106" s="471"/>
      <c r="DA106" s="416" t="str">
        <f>IF(ISERROR(CZ106/CZ153),"",CZ106/CZ153)</f>
        <v/>
      </c>
      <c r="DB106" s="371"/>
      <c r="DC106" s="359" t="str">
        <f>IF(ISERROR(DB106/DB153),"",DB106/DB153)</f>
        <v/>
      </c>
      <c r="DD106" s="358">
        <f t="shared" si="123"/>
        <v>0</v>
      </c>
      <c r="DE106" s="102"/>
      <c r="DF106" s="286">
        <f t="shared" si="73"/>
        <v>0</v>
      </c>
      <c r="DG106" s="296" t="str">
        <f>IF(ISERROR(DF106/DF153),"",DF106/DF153)</f>
        <v/>
      </c>
      <c r="DH106" s="231">
        <f t="shared" si="74"/>
        <v>0</v>
      </c>
      <c r="DI106" s="296" t="str">
        <f>IF(ISERROR(DH106/DH153),"",DH106/DH153)</f>
        <v/>
      </c>
      <c r="DJ106" s="231">
        <f t="shared" si="112"/>
        <v>0</v>
      </c>
      <c r="DK106" s="8"/>
    </row>
    <row r="107" spans="1:115" s="3" customFormat="1" ht="21.75" customHeight="1" outlineLevel="1" thickBot="1" x14ac:dyDescent="0.3">
      <c r="A107" s="80">
        <v>98</v>
      </c>
      <c r="B107" s="618"/>
      <c r="C107" s="622"/>
      <c r="D107" s="623"/>
      <c r="E107" s="612" t="s">
        <v>106</v>
      </c>
      <c r="F107" s="613"/>
      <c r="G107" s="613"/>
      <c r="H107" s="613"/>
      <c r="I107" s="614"/>
      <c r="J107" s="230">
        <f t="shared" si="93"/>
        <v>0</v>
      </c>
      <c r="K107" s="296" t="str">
        <f>IF(ISERROR(J107/J153),"",J107/J153)</f>
        <v/>
      </c>
      <c r="L107" s="231">
        <f t="shared" si="94"/>
        <v>0</v>
      </c>
      <c r="M107" s="296" t="str">
        <f>IF(ISERROR(L107/L153),"",L107/L153)</f>
        <v/>
      </c>
      <c r="N107" s="207">
        <f t="shared" si="49"/>
        <v>0</v>
      </c>
      <c r="O107" s="45" t="e">
        <f t="shared" si="95"/>
        <v>#VALUE!</v>
      </c>
      <c r="P107" s="47"/>
      <c r="Q107" s="470"/>
      <c r="R107" s="416" t="str">
        <f>IF(ISERROR(Q107/Q153),"",Q107/Q153)</f>
        <v/>
      </c>
      <c r="S107" s="371"/>
      <c r="T107" s="359" t="str">
        <f>IF(ISERROR(S107/S153),"",S107/S153)</f>
        <v/>
      </c>
      <c r="U107" s="358">
        <f t="shared" si="96"/>
        <v>0</v>
      </c>
      <c r="V107" s="102"/>
      <c r="W107" s="470"/>
      <c r="X107" s="416" t="str">
        <f>IF(ISERROR(W107/W153),"",W107/W153)</f>
        <v/>
      </c>
      <c r="Y107" s="371"/>
      <c r="Z107" s="359" t="str">
        <f>IF(ISERROR(Y107/Y153),"",Y107/Y153)</f>
        <v/>
      </c>
      <c r="AA107" s="358">
        <f t="shared" si="113"/>
        <v>0</v>
      </c>
      <c r="AB107" s="102"/>
      <c r="AC107" s="470"/>
      <c r="AD107" s="416" t="str">
        <f>IF(ISERROR(AC107/AC153),"",AC107/AC153)</f>
        <v/>
      </c>
      <c r="AE107" s="371"/>
      <c r="AF107" s="359" t="str">
        <f>IF(ISERROR(AE107/AE153),"",AE107/AE153)</f>
        <v/>
      </c>
      <c r="AG107" s="358">
        <f t="shared" si="114"/>
        <v>0</v>
      </c>
      <c r="AH107" s="103" t="e">
        <f t="shared" si="99"/>
        <v>#VALUE!</v>
      </c>
      <c r="AI107" s="286">
        <f t="shared" si="55"/>
        <v>0</v>
      </c>
      <c r="AJ107" s="296" t="str">
        <f>IF(ISERROR(AI107/AI153),"",AI107/AI153)</f>
        <v/>
      </c>
      <c r="AK107" s="231">
        <f t="shared" si="56"/>
        <v>0</v>
      </c>
      <c r="AL107" s="296" t="str">
        <f>IF(ISERROR(AK107/AK153),"",AK107/AK153)</f>
        <v/>
      </c>
      <c r="AM107" s="231">
        <f t="shared" si="100"/>
        <v>0</v>
      </c>
      <c r="AN107" s="102"/>
      <c r="AO107" s="99"/>
      <c r="AP107" s="470"/>
      <c r="AQ107" s="416" t="str">
        <f>IF(ISERROR(AP107/AP153),"",AP107/AP153)</f>
        <v/>
      </c>
      <c r="AR107" s="371"/>
      <c r="AS107" s="359" t="str">
        <f>IF(ISERROR(AR107/AR153),"",AR107/AR153)</f>
        <v/>
      </c>
      <c r="AT107" s="358">
        <f t="shared" si="115"/>
        <v>0</v>
      </c>
      <c r="AU107" s="102"/>
      <c r="AV107" s="470"/>
      <c r="AW107" s="416" t="str">
        <f>IF(ISERROR(AV107/AV153),"",AV107/AV153)</f>
        <v/>
      </c>
      <c r="AX107" s="371"/>
      <c r="AY107" s="359" t="str">
        <f>IF(ISERROR(AX107/AX153),"",AX107/AX153)</f>
        <v/>
      </c>
      <c r="AZ107" s="358">
        <f t="shared" si="116"/>
        <v>0</v>
      </c>
      <c r="BA107" s="102"/>
      <c r="BB107" s="470"/>
      <c r="BC107" s="416" t="str">
        <f>IF(ISERROR(BB107/BB153),"",BB107/BB153)</f>
        <v/>
      </c>
      <c r="BD107" s="371"/>
      <c r="BE107" s="359" t="str">
        <f>IF(ISERROR(BD107/BD153),"",BD107/BD153)</f>
        <v/>
      </c>
      <c r="BF107" s="358">
        <f t="shared" si="117"/>
        <v>0</v>
      </c>
      <c r="BG107" s="102"/>
      <c r="BH107" s="286">
        <f t="shared" si="61"/>
        <v>0</v>
      </c>
      <c r="BI107" s="296" t="str">
        <f>IF(ISERROR(BH107/BH153),"",BH107/BH153)</f>
        <v/>
      </c>
      <c r="BJ107" s="231">
        <f t="shared" si="62"/>
        <v>0</v>
      </c>
      <c r="BK107" s="296" t="str">
        <f>IF(ISERROR(BJ107/BJ153),"",BJ107/BJ153)</f>
        <v/>
      </c>
      <c r="BL107" s="231">
        <f t="shared" si="104"/>
        <v>0</v>
      </c>
      <c r="BM107" s="102"/>
      <c r="BN107" s="99"/>
      <c r="BO107" s="470"/>
      <c r="BP107" s="416" t="str">
        <f>IF(ISERROR(BO107/BO153),"",BO107/BO153)</f>
        <v/>
      </c>
      <c r="BQ107" s="371"/>
      <c r="BR107" s="359" t="str">
        <f>IF(ISERROR(BQ107/BQ153),"",BQ107/BQ153)</f>
        <v/>
      </c>
      <c r="BS107" s="358">
        <f t="shared" si="118"/>
        <v>0</v>
      </c>
      <c r="BT107" s="102"/>
      <c r="BU107" s="470"/>
      <c r="BV107" s="416" t="str">
        <f>IF(ISERROR(BU107/BU153),"",BU107/BU153)</f>
        <v/>
      </c>
      <c r="BW107" s="371"/>
      <c r="BX107" s="359" t="str">
        <f>IF(ISERROR(BW107/BW153),"",BW107/BW153)</f>
        <v/>
      </c>
      <c r="BY107" s="358">
        <f t="shared" si="119"/>
        <v>0</v>
      </c>
      <c r="BZ107" s="102"/>
      <c r="CA107" s="470"/>
      <c r="CB107" s="416" t="str">
        <f>IF(ISERROR(CA107/CA153),"",CA107/CA153)</f>
        <v/>
      </c>
      <c r="CC107" s="371"/>
      <c r="CD107" s="359" t="str">
        <f>IF(ISERROR(CC107/CC153),"",CC107/CC153)</f>
        <v/>
      </c>
      <c r="CE107" s="358">
        <f t="shared" si="120"/>
        <v>0</v>
      </c>
      <c r="CF107" s="102"/>
      <c r="CG107" s="286">
        <f t="shared" si="67"/>
        <v>0</v>
      </c>
      <c r="CH107" s="296" t="str">
        <f>IF(ISERROR(CG107/CG153),"",CG107/CG153)</f>
        <v/>
      </c>
      <c r="CI107" s="231">
        <f t="shared" si="68"/>
        <v>0</v>
      </c>
      <c r="CJ107" s="296" t="str">
        <f>IF(ISERROR(CI107/CI153),"",CI107/CI153)</f>
        <v/>
      </c>
      <c r="CK107" s="231">
        <f t="shared" si="108"/>
        <v>0</v>
      </c>
      <c r="CL107" s="102"/>
      <c r="CM107" s="100"/>
      <c r="CN107" s="470"/>
      <c r="CO107" s="416" t="str">
        <f>IF(ISERROR(CN107/CN153),"",CN107/CN153)</f>
        <v/>
      </c>
      <c r="CP107" s="371"/>
      <c r="CQ107" s="359" t="str">
        <f>IF(ISERROR(CP107/CP153),"",CP107/CP153)</f>
        <v/>
      </c>
      <c r="CR107" s="358">
        <f t="shared" si="121"/>
        <v>0</v>
      </c>
      <c r="CS107" s="102"/>
      <c r="CT107" s="470"/>
      <c r="CU107" s="416" t="str">
        <f>IF(ISERROR(CT107/CT153),"",CT107/CT153)</f>
        <v/>
      </c>
      <c r="CV107" s="371"/>
      <c r="CW107" s="359" t="str">
        <f>IF(ISERROR(CV107/CV153),"",CV107/CV153)</f>
        <v/>
      </c>
      <c r="CX107" s="358">
        <f t="shared" si="122"/>
        <v>0</v>
      </c>
      <c r="CY107" s="102"/>
      <c r="CZ107" s="470"/>
      <c r="DA107" s="416" t="str">
        <f>IF(ISERROR(CZ107/CZ153),"",CZ107/CZ153)</f>
        <v/>
      </c>
      <c r="DB107" s="371"/>
      <c r="DC107" s="359" t="str">
        <f>IF(ISERROR(DB107/DB153),"",DB107/DB153)</f>
        <v/>
      </c>
      <c r="DD107" s="358">
        <f t="shared" si="123"/>
        <v>0</v>
      </c>
      <c r="DE107" s="102"/>
      <c r="DF107" s="286">
        <f t="shared" si="73"/>
        <v>0</v>
      </c>
      <c r="DG107" s="296" t="str">
        <f>IF(ISERROR(DF107/DF153),"",DF107/DF153)</f>
        <v/>
      </c>
      <c r="DH107" s="231">
        <f t="shared" si="74"/>
        <v>0</v>
      </c>
      <c r="DI107" s="296" t="str">
        <f>IF(ISERROR(DH107/DH153),"",DH107/DH153)</f>
        <v/>
      </c>
      <c r="DJ107" s="231">
        <f t="shared" si="112"/>
        <v>0</v>
      </c>
      <c r="DK107" s="8"/>
    </row>
    <row r="108" spans="1:115" s="3" customFormat="1" ht="21.75" customHeight="1" outlineLevel="1" thickTop="1" thickBot="1" x14ac:dyDescent="0.3">
      <c r="A108" s="80">
        <v>99</v>
      </c>
      <c r="B108" s="618"/>
      <c r="C108" s="624"/>
      <c r="D108" s="625"/>
      <c r="E108" s="626" t="s">
        <v>56</v>
      </c>
      <c r="F108" s="626"/>
      <c r="G108" s="626"/>
      <c r="H108" s="626"/>
      <c r="I108" s="627"/>
      <c r="J108" s="264">
        <f t="shared" si="93"/>
        <v>0</v>
      </c>
      <c r="K108" s="307" t="str">
        <f>IF(ISERROR(J108/J153),"",J108/J153)</f>
        <v/>
      </c>
      <c r="L108" s="265">
        <f t="shared" si="94"/>
        <v>0</v>
      </c>
      <c r="M108" s="307" t="str">
        <f>IF(ISERROR(L108/L153),"",L108/L153)</f>
        <v/>
      </c>
      <c r="N108" s="224">
        <f t="shared" ref="N108:N123" si="124">J108-L108</f>
        <v>0</v>
      </c>
      <c r="O108" s="63" t="e">
        <f t="shared" si="95"/>
        <v>#VALUE!</v>
      </c>
      <c r="P108" s="47"/>
      <c r="Q108" s="417">
        <f>SUM(Q103:Q107)</f>
        <v>0</v>
      </c>
      <c r="R108" s="418" t="str">
        <f>IF(ISERROR(Q108/Q153),"",Q108/Q153)</f>
        <v/>
      </c>
      <c r="S108" s="419">
        <f>SUM(S103:S107)</f>
        <v>0</v>
      </c>
      <c r="T108" s="418" t="str">
        <f>IF(ISERROR(S108/S153),"",S108/S153)</f>
        <v/>
      </c>
      <c r="U108" s="419">
        <f t="shared" si="96"/>
        <v>0</v>
      </c>
      <c r="V108" s="141"/>
      <c r="W108" s="417">
        <f>SUM(W103:W107)</f>
        <v>0</v>
      </c>
      <c r="X108" s="418" t="str">
        <f>IF(ISERROR(W108/W153),"",W108/W153)</f>
        <v/>
      </c>
      <c r="Y108" s="419">
        <f>SUM(Y103:Y107)</f>
        <v>0</v>
      </c>
      <c r="Z108" s="418" t="str">
        <f>IF(ISERROR(Y108/Y153),"",Y108/Y153)</f>
        <v/>
      </c>
      <c r="AA108" s="419">
        <f t="shared" si="113"/>
        <v>0</v>
      </c>
      <c r="AB108" s="141"/>
      <c r="AC108" s="417">
        <f>SUM(AC103:AC107)</f>
        <v>0</v>
      </c>
      <c r="AD108" s="418" t="str">
        <f>IF(ISERROR(AC108/AC153),"",AC108/AC153)</f>
        <v/>
      </c>
      <c r="AE108" s="419">
        <f>SUM(AE103:AE107)</f>
        <v>0</v>
      </c>
      <c r="AF108" s="418" t="str">
        <f>IF(ISERROR(AE108/AE153),"",AE108/AE153)</f>
        <v/>
      </c>
      <c r="AG108" s="419">
        <f t="shared" si="114"/>
        <v>0</v>
      </c>
      <c r="AH108" s="140" t="e">
        <f t="shared" si="99"/>
        <v>#VALUE!</v>
      </c>
      <c r="AI108" s="264">
        <f t="shared" ref="AI108:AI123" si="125">SUM(Q108,W108,AC108)</f>
        <v>0</v>
      </c>
      <c r="AJ108" s="307" t="str">
        <f>IF(ISERROR(AI108/AI153),"",AI108/AI153)</f>
        <v/>
      </c>
      <c r="AK108" s="265">
        <f t="shared" ref="AK108:AK123" si="126">SUM(S108,Y108,AE108)</f>
        <v>0</v>
      </c>
      <c r="AL108" s="307" t="str">
        <f>IF(ISERROR(AK108/AK153),"",AK108/AK153)</f>
        <v/>
      </c>
      <c r="AM108" s="265">
        <f t="shared" si="100"/>
        <v>0</v>
      </c>
      <c r="AN108" s="141"/>
      <c r="AO108" s="99"/>
      <c r="AP108" s="417">
        <f>SUM(AP103:AP107)</f>
        <v>0</v>
      </c>
      <c r="AQ108" s="418" t="str">
        <f>IF(ISERROR(AP108/AP153),"",AP108/AP153)</f>
        <v/>
      </c>
      <c r="AR108" s="419">
        <f>SUM(AR103:AR107)</f>
        <v>0</v>
      </c>
      <c r="AS108" s="418" t="str">
        <f>IF(ISERROR(AR108/AR153),"",AR108/AR153)</f>
        <v/>
      </c>
      <c r="AT108" s="419">
        <f t="shared" si="115"/>
        <v>0</v>
      </c>
      <c r="AU108" s="141"/>
      <c r="AV108" s="417">
        <f>SUM(AV103:AV107)</f>
        <v>0</v>
      </c>
      <c r="AW108" s="418" t="str">
        <f>IF(ISERROR(AV108/AV153),"",AV108/AV153)</f>
        <v/>
      </c>
      <c r="AX108" s="419">
        <f>SUM(AX103:AX107)</f>
        <v>0</v>
      </c>
      <c r="AY108" s="418" t="str">
        <f>IF(ISERROR(AX108/AX153),"",AX108/AX153)</f>
        <v/>
      </c>
      <c r="AZ108" s="419">
        <f t="shared" si="116"/>
        <v>0</v>
      </c>
      <c r="BA108" s="141"/>
      <c r="BB108" s="417">
        <f>SUM(BB103:BB107)</f>
        <v>0</v>
      </c>
      <c r="BC108" s="418" t="str">
        <f>IF(ISERROR(BB108/BB153),"",BB108/BB153)</f>
        <v/>
      </c>
      <c r="BD108" s="419">
        <f>SUM(BD103:BD107)</f>
        <v>0</v>
      </c>
      <c r="BE108" s="418" t="str">
        <f>IF(ISERROR(BD108/BD153),"",BD108/BD153)</f>
        <v/>
      </c>
      <c r="BF108" s="419">
        <f t="shared" si="117"/>
        <v>0</v>
      </c>
      <c r="BG108" s="141"/>
      <c r="BH108" s="264">
        <f t="shared" ref="BH108:BH123" si="127">SUM(AP108,AV108,BB108)</f>
        <v>0</v>
      </c>
      <c r="BI108" s="307" t="str">
        <f>IF(ISERROR(BH108/BH153),"",BH108/BH153)</f>
        <v/>
      </c>
      <c r="BJ108" s="265">
        <f t="shared" ref="BJ108:BJ123" si="128">SUM(AR108,AX108,BD108)</f>
        <v>0</v>
      </c>
      <c r="BK108" s="307" t="str">
        <f>IF(ISERROR(BJ108/BJ153),"",BJ108/BJ153)</f>
        <v/>
      </c>
      <c r="BL108" s="265">
        <f t="shared" si="104"/>
        <v>0</v>
      </c>
      <c r="BM108" s="141"/>
      <c r="BN108" s="99"/>
      <c r="BO108" s="417">
        <f>SUM(BO103:BO107)</f>
        <v>0</v>
      </c>
      <c r="BP108" s="418" t="str">
        <f>IF(ISERROR(BO108/BO153),"",BO108/BO153)</f>
        <v/>
      </c>
      <c r="BQ108" s="419">
        <f>SUM(BQ103:BQ107)</f>
        <v>0</v>
      </c>
      <c r="BR108" s="418" t="str">
        <f>IF(ISERROR(BQ108/BQ153),"",BQ108/BQ153)</f>
        <v/>
      </c>
      <c r="BS108" s="419">
        <f t="shared" si="118"/>
        <v>0</v>
      </c>
      <c r="BT108" s="141"/>
      <c r="BU108" s="417">
        <f>SUM(BU103:BU107)</f>
        <v>0</v>
      </c>
      <c r="BV108" s="418" t="str">
        <f>IF(ISERROR(BU108/BU153),"",BU108/BU153)</f>
        <v/>
      </c>
      <c r="BW108" s="419">
        <f>SUM(BW103:BW107)</f>
        <v>0</v>
      </c>
      <c r="BX108" s="418" t="str">
        <f>IF(ISERROR(BW108/BW153),"",BW108/BW153)</f>
        <v/>
      </c>
      <c r="BY108" s="419">
        <f t="shared" si="119"/>
        <v>0</v>
      </c>
      <c r="BZ108" s="141"/>
      <c r="CA108" s="417">
        <f>SUM(CA103:CA107)</f>
        <v>0</v>
      </c>
      <c r="CB108" s="418" t="str">
        <f>IF(ISERROR(CA108/CA153),"",CA108/CA153)</f>
        <v/>
      </c>
      <c r="CC108" s="419">
        <f>SUM(CC103:CC107)</f>
        <v>0</v>
      </c>
      <c r="CD108" s="418" t="str">
        <f>IF(ISERROR(CC108/CC153),"",CC108/CC153)</f>
        <v/>
      </c>
      <c r="CE108" s="419">
        <f t="shared" si="120"/>
        <v>0</v>
      </c>
      <c r="CF108" s="141"/>
      <c r="CG108" s="264">
        <f t="shared" ref="CG108:CG123" si="129">SUM(BO108,BU108,CA108)</f>
        <v>0</v>
      </c>
      <c r="CH108" s="307" t="str">
        <f>IF(ISERROR(CG108/CG153),"",CG108/CG153)</f>
        <v/>
      </c>
      <c r="CI108" s="265">
        <f t="shared" ref="CI108:CI123" si="130">SUM(BQ108,BW108,CC108)</f>
        <v>0</v>
      </c>
      <c r="CJ108" s="307" t="str">
        <f>IF(ISERROR(CI108/CI153),"",CI108/CI153)</f>
        <v/>
      </c>
      <c r="CK108" s="265">
        <f t="shared" si="108"/>
        <v>0</v>
      </c>
      <c r="CL108" s="141"/>
      <c r="CM108" s="100"/>
      <c r="CN108" s="417">
        <f>SUM(CN103:CN107)</f>
        <v>0</v>
      </c>
      <c r="CO108" s="418" t="str">
        <f>IF(ISERROR(CN108/CN153),"",CN108/CN153)</f>
        <v/>
      </c>
      <c r="CP108" s="419">
        <f>SUM(CP103:CP107)</f>
        <v>0</v>
      </c>
      <c r="CQ108" s="418" t="str">
        <f>IF(ISERROR(CP108/CP153),"",CP108/CP153)</f>
        <v/>
      </c>
      <c r="CR108" s="419">
        <f t="shared" si="121"/>
        <v>0</v>
      </c>
      <c r="CS108" s="141"/>
      <c r="CT108" s="417">
        <f>SUM(CT103:CT107)</f>
        <v>0</v>
      </c>
      <c r="CU108" s="418" t="str">
        <f>IF(ISERROR(CT108/CT153),"",CT108/CT153)</f>
        <v/>
      </c>
      <c r="CV108" s="419">
        <f>SUM(CV103:CV107)</f>
        <v>0</v>
      </c>
      <c r="CW108" s="418" t="str">
        <f>IF(ISERROR(CV108/CV153),"",CV108/CV153)</f>
        <v/>
      </c>
      <c r="CX108" s="419">
        <f t="shared" si="122"/>
        <v>0</v>
      </c>
      <c r="CY108" s="141"/>
      <c r="CZ108" s="417">
        <f>SUM(CZ103:CZ107)</f>
        <v>0</v>
      </c>
      <c r="DA108" s="418" t="str">
        <f>IF(ISERROR(CZ108/CZ153),"",CZ108/CZ153)</f>
        <v/>
      </c>
      <c r="DB108" s="419">
        <f>SUM(DB103:DB107)</f>
        <v>0</v>
      </c>
      <c r="DC108" s="418" t="str">
        <f>IF(ISERROR(DB108/DB153),"",DB108/DB153)</f>
        <v/>
      </c>
      <c r="DD108" s="419">
        <f t="shared" si="123"/>
        <v>0</v>
      </c>
      <c r="DE108" s="141"/>
      <c r="DF108" s="264">
        <f t="shared" ref="DF108:DF123" si="131">SUM(CN108,CT108,CZ108)</f>
        <v>0</v>
      </c>
      <c r="DG108" s="307" t="str">
        <f>IF(ISERROR(DF108/DF153),"",DF108/DF153)</f>
        <v/>
      </c>
      <c r="DH108" s="265">
        <f t="shared" ref="DH108:DH123" si="132">SUM(CP108,CV108,DB108)</f>
        <v>0</v>
      </c>
      <c r="DI108" s="307" t="str">
        <f>IF(ISERROR(DH108/DH153),"",DH108/DH153)</f>
        <v/>
      </c>
      <c r="DJ108" s="265">
        <f t="shared" si="112"/>
        <v>0</v>
      </c>
      <c r="DK108" s="25"/>
    </row>
    <row r="109" spans="1:115" s="3" customFormat="1" ht="21.75" customHeight="1" outlineLevel="1" thickTop="1" x14ac:dyDescent="0.25">
      <c r="A109" s="80">
        <v>100</v>
      </c>
      <c r="B109" s="618"/>
      <c r="C109" s="602" t="s">
        <v>107</v>
      </c>
      <c r="D109" s="603"/>
      <c r="E109" s="606" t="s">
        <v>108</v>
      </c>
      <c r="F109" s="607"/>
      <c r="G109" s="607"/>
      <c r="H109" s="607"/>
      <c r="I109" s="608"/>
      <c r="J109" s="228">
        <f t="shared" si="93"/>
        <v>0</v>
      </c>
      <c r="K109" s="295" t="str">
        <f>IF(ISERROR(J109/J153),"",J109/J153)</f>
        <v/>
      </c>
      <c r="L109" s="229">
        <f t="shared" si="94"/>
        <v>0</v>
      </c>
      <c r="M109" s="295" t="str">
        <f>IF(ISERROR(L109/L153),"",L109/L153)</f>
        <v/>
      </c>
      <c r="N109" s="206">
        <f t="shared" si="124"/>
        <v>0</v>
      </c>
      <c r="O109" s="43" t="e">
        <f t="shared" si="95"/>
        <v>#VALUE!</v>
      </c>
      <c r="P109" s="47"/>
      <c r="Q109" s="469"/>
      <c r="R109" s="415" t="str">
        <f>IF(ISERROR(Q109/Q153),"",Q109/Q153)</f>
        <v/>
      </c>
      <c r="S109" s="375"/>
      <c r="T109" s="356" t="str">
        <f>IF(ISERROR(S109/S153),"",S109/S153)</f>
        <v/>
      </c>
      <c r="U109" s="355">
        <f t="shared" si="96"/>
        <v>0</v>
      </c>
      <c r="V109" s="96"/>
      <c r="W109" s="469"/>
      <c r="X109" s="415" t="str">
        <f>IF(ISERROR(W109/W153),"",W109/W153)</f>
        <v/>
      </c>
      <c r="Y109" s="375"/>
      <c r="Z109" s="356" t="str">
        <f>IF(ISERROR(Y109/Y153),"",Y109/Y153)</f>
        <v/>
      </c>
      <c r="AA109" s="355">
        <f t="shared" si="113"/>
        <v>0</v>
      </c>
      <c r="AB109" s="96"/>
      <c r="AC109" s="469"/>
      <c r="AD109" s="415" t="str">
        <f>IF(ISERROR(AC109/AC153),"",AC109/AC153)</f>
        <v/>
      </c>
      <c r="AE109" s="375"/>
      <c r="AF109" s="356" t="str">
        <f>IF(ISERROR(AE109/AE153),"",AE109/AE153)</f>
        <v/>
      </c>
      <c r="AG109" s="355">
        <f t="shared" si="114"/>
        <v>0</v>
      </c>
      <c r="AH109" s="97" t="e">
        <f t="shared" si="99"/>
        <v>#VALUE!</v>
      </c>
      <c r="AI109" s="285">
        <f t="shared" si="125"/>
        <v>0</v>
      </c>
      <c r="AJ109" s="295" t="str">
        <f>IF(ISERROR(AI109/AI153),"",AI109/AI153)</f>
        <v/>
      </c>
      <c r="AK109" s="229">
        <f t="shared" si="126"/>
        <v>0</v>
      </c>
      <c r="AL109" s="295" t="str">
        <f>IF(ISERROR(AK109/AK153),"",AK109/AK153)</f>
        <v/>
      </c>
      <c r="AM109" s="229">
        <f t="shared" si="100"/>
        <v>0</v>
      </c>
      <c r="AN109" s="96"/>
      <c r="AO109" s="99"/>
      <c r="AP109" s="469"/>
      <c r="AQ109" s="415" t="str">
        <f>IF(ISERROR(AP109/AP153),"",AP109/AP153)</f>
        <v/>
      </c>
      <c r="AR109" s="375"/>
      <c r="AS109" s="356" t="str">
        <f>IF(ISERROR(AR109/AR153),"",AR109/AR153)</f>
        <v/>
      </c>
      <c r="AT109" s="355">
        <f t="shared" si="115"/>
        <v>0</v>
      </c>
      <c r="AU109" s="96"/>
      <c r="AV109" s="469"/>
      <c r="AW109" s="415" t="str">
        <f>IF(ISERROR(AV109/AV153),"",AV109/AV153)</f>
        <v/>
      </c>
      <c r="AX109" s="375"/>
      <c r="AY109" s="356" t="str">
        <f>IF(ISERROR(AX109/AX153),"",AX109/AX153)</f>
        <v/>
      </c>
      <c r="AZ109" s="355">
        <f t="shared" si="116"/>
        <v>0</v>
      </c>
      <c r="BA109" s="96"/>
      <c r="BB109" s="469"/>
      <c r="BC109" s="415" t="str">
        <f>IF(ISERROR(BB109/BB153),"",BB109/BB153)</f>
        <v/>
      </c>
      <c r="BD109" s="375"/>
      <c r="BE109" s="356" t="str">
        <f>IF(ISERROR(BD109/BD153),"",BD109/BD153)</f>
        <v/>
      </c>
      <c r="BF109" s="355">
        <f t="shared" si="117"/>
        <v>0</v>
      </c>
      <c r="BG109" s="96"/>
      <c r="BH109" s="285">
        <f t="shared" si="127"/>
        <v>0</v>
      </c>
      <c r="BI109" s="295" t="str">
        <f>IF(ISERROR(BH109/BH153),"",BH109/BH153)</f>
        <v/>
      </c>
      <c r="BJ109" s="229">
        <f t="shared" si="128"/>
        <v>0</v>
      </c>
      <c r="BK109" s="295" t="str">
        <f>IF(ISERROR(BJ109/BJ153),"",BJ109/BJ153)</f>
        <v/>
      </c>
      <c r="BL109" s="229">
        <f t="shared" si="104"/>
        <v>0</v>
      </c>
      <c r="BM109" s="96"/>
      <c r="BN109" s="99"/>
      <c r="BO109" s="469"/>
      <c r="BP109" s="415" t="str">
        <f>IF(ISERROR(BO109/BO153),"",BO109/BO153)</f>
        <v/>
      </c>
      <c r="BQ109" s="375"/>
      <c r="BR109" s="356" t="str">
        <f>IF(ISERROR(BQ109/BQ153),"",BQ109/BQ153)</f>
        <v/>
      </c>
      <c r="BS109" s="355">
        <f t="shared" si="118"/>
        <v>0</v>
      </c>
      <c r="BT109" s="96"/>
      <c r="BU109" s="469"/>
      <c r="BV109" s="415" t="str">
        <f>IF(ISERROR(BU109/BU153),"",BU109/BU153)</f>
        <v/>
      </c>
      <c r="BW109" s="375"/>
      <c r="BX109" s="356" t="str">
        <f>IF(ISERROR(BW109/BW153),"",BW109/BW153)</f>
        <v/>
      </c>
      <c r="BY109" s="355">
        <f t="shared" si="119"/>
        <v>0</v>
      </c>
      <c r="BZ109" s="96"/>
      <c r="CA109" s="469"/>
      <c r="CB109" s="415" t="str">
        <f>IF(ISERROR(CA109/CA153),"",CA109/CA153)</f>
        <v/>
      </c>
      <c r="CC109" s="375"/>
      <c r="CD109" s="356" t="str">
        <f>IF(ISERROR(CC109/CC153),"",CC109/CC153)</f>
        <v/>
      </c>
      <c r="CE109" s="355">
        <f t="shared" si="120"/>
        <v>0</v>
      </c>
      <c r="CF109" s="96"/>
      <c r="CG109" s="285">
        <f t="shared" si="129"/>
        <v>0</v>
      </c>
      <c r="CH109" s="295" t="str">
        <f>IF(ISERROR(CG109/CG153),"",CG109/CG153)</f>
        <v/>
      </c>
      <c r="CI109" s="229">
        <f t="shared" si="130"/>
        <v>0</v>
      </c>
      <c r="CJ109" s="295" t="str">
        <f>IF(ISERROR(CI109/CI153),"",CI109/CI153)</f>
        <v/>
      </c>
      <c r="CK109" s="229">
        <f t="shared" si="108"/>
        <v>0</v>
      </c>
      <c r="CL109" s="96"/>
      <c r="CM109" s="100"/>
      <c r="CN109" s="469"/>
      <c r="CO109" s="415" t="str">
        <f>IF(ISERROR(CN109/CN153),"",CN109/CN153)</f>
        <v/>
      </c>
      <c r="CP109" s="375"/>
      <c r="CQ109" s="356" t="str">
        <f>IF(ISERROR(CP109/CP153),"",CP109/CP153)</f>
        <v/>
      </c>
      <c r="CR109" s="355">
        <f t="shared" si="121"/>
        <v>0</v>
      </c>
      <c r="CS109" s="96"/>
      <c r="CT109" s="469"/>
      <c r="CU109" s="415" t="str">
        <f>IF(ISERROR(CT109/CT153),"",CT109/CT153)</f>
        <v/>
      </c>
      <c r="CV109" s="375"/>
      <c r="CW109" s="356" t="str">
        <f>IF(ISERROR(CV109/CV153),"",CV109/CV153)</f>
        <v/>
      </c>
      <c r="CX109" s="355">
        <f t="shared" si="122"/>
        <v>0</v>
      </c>
      <c r="CY109" s="96"/>
      <c r="CZ109" s="469"/>
      <c r="DA109" s="415" t="str">
        <f>IF(ISERROR(CZ109/CZ153),"",CZ109/CZ153)</f>
        <v/>
      </c>
      <c r="DB109" s="375"/>
      <c r="DC109" s="356" t="str">
        <f>IF(ISERROR(DB109/DB153),"",DB109/DB153)</f>
        <v/>
      </c>
      <c r="DD109" s="355">
        <f t="shared" si="123"/>
        <v>0</v>
      </c>
      <c r="DE109" s="96"/>
      <c r="DF109" s="285">
        <f t="shared" si="131"/>
        <v>0</v>
      </c>
      <c r="DG109" s="295" t="str">
        <f>IF(ISERROR(DF109/DF153),"",DF109/DF153)</f>
        <v/>
      </c>
      <c r="DH109" s="229">
        <f t="shared" si="132"/>
        <v>0</v>
      </c>
      <c r="DI109" s="295" t="str">
        <f>IF(ISERROR(DH109/DH153),"",DH109/DH153)</f>
        <v/>
      </c>
      <c r="DJ109" s="229">
        <f t="shared" si="112"/>
        <v>0</v>
      </c>
      <c r="DK109" s="7"/>
    </row>
    <row r="110" spans="1:115" s="3" customFormat="1" ht="21.75" customHeight="1" outlineLevel="1" x14ac:dyDescent="0.25">
      <c r="A110" s="80">
        <v>101</v>
      </c>
      <c r="B110" s="618"/>
      <c r="C110" s="604"/>
      <c r="D110" s="605"/>
      <c r="E110" s="609" t="s">
        <v>109</v>
      </c>
      <c r="F110" s="610"/>
      <c r="G110" s="610"/>
      <c r="H110" s="610"/>
      <c r="I110" s="611"/>
      <c r="J110" s="230">
        <f t="shared" si="93"/>
        <v>0</v>
      </c>
      <c r="K110" s="296" t="str">
        <f>IF(ISERROR(J110/J153),"",J110/J153)</f>
        <v/>
      </c>
      <c r="L110" s="231">
        <f t="shared" si="94"/>
        <v>0</v>
      </c>
      <c r="M110" s="296" t="str">
        <f>IF(ISERROR(L110/L153),"",L110/L153)</f>
        <v/>
      </c>
      <c r="N110" s="207">
        <f t="shared" si="124"/>
        <v>0</v>
      </c>
      <c r="O110" s="45" t="e">
        <f t="shared" si="95"/>
        <v>#VALUE!</v>
      </c>
      <c r="P110" s="47"/>
      <c r="Q110" s="471"/>
      <c r="R110" s="416" t="str">
        <f>IF(ISERROR(Q110/Q153),"",Q110/Q153)</f>
        <v/>
      </c>
      <c r="S110" s="371"/>
      <c r="T110" s="359" t="str">
        <f>IF(ISERROR(S110/S153),"",S110/S153)</f>
        <v/>
      </c>
      <c r="U110" s="358">
        <f t="shared" si="96"/>
        <v>0</v>
      </c>
      <c r="V110" s="102"/>
      <c r="W110" s="471"/>
      <c r="X110" s="416" t="str">
        <f>IF(ISERROR(W110/W153),"",W110/W153)</f>
        <v/>
      </c>
      <c r="Y110" s="371"/>
      <c r="Z110" s="359" t="str">
        <f>IF(ISERROR(Y110/Y153),"",Y110/Y153)</f>
        <v/>
      </c>
      <c r="AA110" s="358">
        <f t="shared" si="113"/>
        <v>0</v>
      </c>
      <c r="AB110" s="102"/>
      <c r="AC110" s="471"/>
      <c r="AD110" s="416" t="str">
        <f>IF(ISERROR(AC110/AC153),"",AC110/AC153)</f>
        <v/>
      </c>
      <c r="AE110" s="371"/>
      <c r="AF110" s="359" t="str">
        <f>IF(ISERROR(AE110/AE153),"",AE110/AE153)</f>
        <v/>
      </c>
      <c r="AG110" s="358">
        <f t="shared" si="114"/>
        <v>0</v>
      </c>
      <c r="AH110" s="103" t="e">
        <f t="shared" si="99"/>
        <v>#VALUE!</v>
      </c>
      <c r="AI110" s="286">
        <f t="shared" si="125"/>
        <v>0</v>
      </c>
      <c r="AJ110" s="296" t="str">
        <f>IF(ISERROR(AI110/AI153),"",AI110/AI153)</f>
        <v/>
      </c>
      <c r="AK110" s="231">
        <f t="shared" si="126"/>
        <v>0</v>
      </c>
      <c r="AL110" s="296" t="str">
        <f>IF(ISERROR(AK110/AK153),"",AK110/AK153)</f>
        <v/>
      </c>
      <c r="AM110" s="231">
        <f t="shared" si="100"/>
        <v>0</v>
      </c>
      <c r="AN110" s="102"/>
      <c r="AO110" s="99"/>
      <c r="AP110" s="471"/>
      <c r="AQ110" s="416" t="str">
        <f>IF(ISERROR(AP110/AP153),"",AP110/AP153)</f>
        <v/>
      </c>
      <c r="AR110" s="371"/>
      <c r="AS110" s="359" t="str">
        <f>IF(ISERROR(AR110/AR153),"",AR110/AR153)</f>
        <v/>
      </c>
      <c r="AT110" s="358">
        <f t="shared" si="115"/>
        <v>0</v>
      </c>
      <c r="AU110" s="102"/>
      <c r="AV110" s="471"/>
      <c r="AW110" s="416" t="str">
        <f>IF(ISERROR(AV110/AV153),"",AV110/AV153)</f>
        <v/>
      </c>
      <c r="AX110" s="371"/>
      <c r="AY110" s="359" t="str">
        <f>IF(ISERROR(AX110/AX153),"",AX110/AX153)</f>
        <v/>
      </c>
      <c r="AZ110" s="358">
        <f t="shared" si="116"/>
        <v>0</v>
      </c>
      <c r="BA110" s="102"/>
      <c r="BB110" s="471"/>
      <c r="BC110" s="416" t="str">
        <f>IF(ISERROR(BB110/BB153),"",BB110/BB153)</f>
        <v/>
      </c>
      <c r="BD110" s="371"/>
      <c r="BE110" s="359" t="str">
        <f>IF(ISERROR(BD110/BD153),"",BD110/BD153)</f>
        <v/>
      </c>
      <c r="BF110" s="358">
        <f t="shared" si="117"/>
        <v>0</v>
      </c>
      <c r="BG110" s="102"/>
      <c r="BH110" s="286">
        <f t="shared" si="127"/>
        <v>0</v>
      </c>
      <c r="BI110" s="296" t="str">
        <f>IF(ISERROR(BH110/BH153),"",BH110/BH153)</f>
        <v/>
      </c>
      <c r="BJ110" s="231">
        <f t="shared" si="128"/>
        <v>0</v>
      </c>
      <c r="BK110" s="296" t="str">
        <f>IF(ISERROR(BJ110/BJ153),"",BJ110/BJ153)</f>
        <v/>
      </c>
      <c r="BL110" s="231">
        <f t="shared" si="104"/>
        <v>0</v>
      </c>
      <c r="BM110" s="102"/>
      <c r="BN110" s="99"/>
      <c r="BO110" s="471"/>
      <c r="BP110" s="416" t="str">
        <f>IF(ISERROR(BO110/BO153),"",BO110/BO153)</f>
        <v/>
      </c>
      <c r="BQ110" s="371"/>
      <c r="BR110" s="359" t="str">
        <f>IF(ISERROR(BQ110/BQ153),"",BQ110/BQ153)</f>
        <v/>
      </c>
      <c r="BS110" s="358">
        <f t="shared" si="118"/>
        <v>0</v>
      </c>
      <c r="BT110" s="102"/>
      <c r="BU110" s="471"/>
      <c r="BV110" s="416" t="str">
        <f>IF(ISERROR(BU110/BU153),"",BU110/BU153)</f>
        <v/>
      </c>
      <c r="BW110" s="371"/>
      <c r="BX110" s="359" t="str">
        <f>IF(ISERROR(BW110/BW153),"",BW110/BW153)</f>
        <v/>
      </c>
      <c r="BY110" s="358">
        <f t="shared" si="119"/>
        <v>0</v>
      </c>
      <c r="BZ110" s="102"/>
      <c r="CA110" s="471"/>
      <c r="CB110" s="416" t="str">
        <f>IF(ISERROR(CA110/CA153),"",CA110/CA153)</f>
        <v/>
      </c>
      <c r="CC110" s="371"/>
      <c r="CD110" s="359" t="str">
        <f>IF(ISERROR(CC110/CC153),"",CC110/CC153)</f>
        <v/>
      </c>
      <c r="CE110" s="358">
        <f t="shared" si="120"/>
        <v>0</v>
      </c>
      <c r="CF110" s="102"/>
      <c r="CG110" s="286">
        <f t="shared" si="129"/>
        <v>0</v>
      </c>
      <c r="CH110" s="296" t="str">
        <f>IF(ISERROR(CG110/CG153),"",CG110/CG153)</f>
        <v/>
      </c>
      <c r="CI110" s="231">
        <f t="shared" si="130"/>
        <v>0</v>
      </c>
      <c r="CJ110" s="296" t="str">
        <f>IF(ISERROR(CI110/CI153),"",CI110/CI153)</f>
        <v/>
      </c>
      <c r="CK110" s="231">
        <f t="shared" si="108"/>
        <v>0</v>
      </c>
      <c r="CL110" s="102"/>
      <c r="CM110" s="100"/>
      <c r="CN110" s="471"/>
      <c r="CO110" s="416" t="str">
        <f>IF(ISERROR(CN110/CN153),"",CN110/CN153)</f>
        <v/>
      </c>
      <c r="CP110" s="371"/>
      <c r="CQ110" s="359" t="str">
        <f>IF(ISERROR(CP110/CP153),"",CP110/CP153)</f>
        <v/>
      </c>
      <c r="CR110" s="358">
        <f t="shared" si="121"/>
        <v>0</v>
      </c>
      <c r="CS110" s="102"/>
      <c r="CT110" s="471"/>
      <c r="CU110" s="416" t="str">
        <f>IF(ISERROR(CT110/CT153),"",CT110/CT153)</f>
        <v/>
      </c>
      <c r="CV110" s="371"/>
      <c r="CW110" s="359" t="str">
        <f>IF(ISERROR(CV110/CV153),"",CV110/CV153)</f>
        <v/>
      </c>
      <c r="CX110" s="358">
        <f t="shared" si="122"/>
        <v>0</v>
      </c>
      <c r="CY110" s="102"/>
      <c r="CZ110" s="471"/>
      <c r="DA110" s="416" t="str">
        <f>IF(ISERROR(CZ110/CZ153),"",CZ110/CZ153)</f>
        <v/>
      </c>
      <c r="DB110" s="371"/>
      <c r="DC110" s="359" t="str">
        <f>IF(ISERROR(DB110/DB153),"",DB110/DB153)</f>
        <v/>
      </c>
      <c r="DD110" s="358">
        <f t="shared" si="123"/>
        <v>0</v>
      </c>
      <c r="DE110" s="102"/>
      <c r="DF110" s="286">
        <f t="shared" si="131"/>
        <v>0</v>
      </c>
      <c r="DG110" s="296" t="str">
        <f>IF(ISERROR(DF110/DF153),"",DF110/DF153)</f>
        <v/>
      </c>
      <c r="DH110" s="231">
        <f t="shared" si="132"/>
        <v>0</v>
      </c>
      <c r="DI110" s="296" t="str">
        <f>IF(ISERROR(DH110/DH153),"",DH110/DH153)</f>
        <v/>
      </c>
      <c r="DJ110" s="231">
        <f t="shared" si="112"/>
        <v>0</v>
      </c>
      <c r="DK110" s="8"/>
    </row>
    <row r="111" spans="1:115" s="3" customFormat="1" ht="21.75" customHeight="1" outlineLevel="1" x14ac:dyDescent="0.25">
      <c r="A111" s="80">
        <v>102</v>
      </c>
      <c r="B111" s="618"/>
      <c r="C111" s="604"/>
      <c r="D111" s="605"/>
      <c r="E111" s="609" t="s">
        <v>110</v>
      </c>
      <c r="F111" s="610"/>
      <c r="G111" s="610"/>
      <c r="H111" s="610"/>
      <c r="I111" s="611"/>
      <c r="J111" s="230">
        <f t="shared" si="93"/>
        <v>0</v>
      </c>
      <c r="K111" s="296" t="str">
        <f>IF(ISERROR(J111/J153),"",J111/J153)</f>
        <v/>
      </c>
      <c r="L111" s="231">
        <f t="shared" si="94"/>
        <v>0</v>
      </c>
      <c r="M111" s="296" t="str">
        <f>IF(ISERROR(L111/L153),"",L111/L153)</f>
        <v/>
      </c>
      <c r="N111" s="207">
        <f t="shared" si="124"/>
        <v>0</v>
      </c>
      <c r="O111" s="45" t="e">
        <f t="shared" si="95"/>
        <v>#VALUE!</v>
      </c>
      <c r="P111" s="47"/>
      <c r="Q111" s="471"/>
      <c r="R111" s="416" t="str">
        <f>IF(ISERROR(Q111/Q153),"",Q111/Q153)</f>
        <v/>
      </c>
      <c r="S111" s="371"/>
      <c r="T111" s="359" t="str">
        <f>IF(ISERROR(S111/S153),"",S111/S153)</f>
        <v/>
      </c>
      <c r="U111" s="358">
        <f t="shared" si="96"/>
        <v>0</v>
      </c>
      <c r="V111" s="102"/>
      <c r="W111" s="471"/>
      <c r="X111" s="416" t="str">
        <f>IF(ISERROR(W111/W153),"",W111/W153)</f>
        <v/>
      </c>
      <c r="Y111" s="371"/>
      <c r="Z111" s="359" t="str">
        <f>IF(ISERROR(Y111/Y153),"",Y111/Y153)</f>
        <v/>
      </c>
      <c r="AA111" s="358">
        <f t="shared" si="113"/>
        <v>0</v>
      </c>
      <c r="AB111" s="102"/>
      <c r="AC111" s="471"/>
      <c r="AD111" s="416" t="str">
        <f>IF(ISERROR(AC111/AC153),"",AC111/AC153)</f>
        <v/>
      </c>
      <c r="AE111" s="371"/>
      <c r="AF111" s="359" t="str">
        <f>IF(ISERROR(AE111/AE153),"",AE111/AE153)</f>
        <v/>
      </c>
      <c r="AG111" s="358">
        <f t="shared" si="114"/>
        <v>0</v>
      </c>
      <c r="AH111" s="103" t="e">
        <f t="shared" si="99"/>
        <v>#VALUE!</v>
      </c>
      <c r="AI111" s="286">
        <f t="shared" si="125"/>
        <v>0</v>
      </c>
      <c r="AJ111" s="296" t="str">
        <f>IF(ISERROR(AI111/AI153),"",AI111/AI153)</f>
        <v/>
      </c>
      <c r="AK111" s="231">
        <f t="shared" si="126"/>
        <v>0</v>
      </c>
      <c r="AL111" s="296" t="str">
        <f>IF(ISERROR(AK111/AK153),"",AK111/AK153)</f>
        <v/>
      </c>
      <c r="AM111" s="231">
        <f t="shared" si="100"/>
        <v>0</v>
      </c>
      <c r="AN111" s="102"/>
      <c r="AO111" s="99"/>
      <c r="AP111" s="471"/>
      <c r="AQ111" s="416" t="str">
        <f>IF(ISERROR(AP111/AP153),"",AP111/AP153)</f>
        <v/>
      </c>
      <c r="AR111" s="371"/>
      <c r="AS111" s="359" t="str">
        <f>IF(ISERROR(AR111/AR153),"",AR111/AR153)</f>
        <v/>
      </c>
      <c r="AT111" s="358">
        <f t="shared" si="115"/>
        <v>0</v>
      </c>
      <c r="AU111" s="102"/>
      <c r="AV111" s="471"/>
      <c r="AW111" s="416" t="str">
        <f>IF(ISERROR(AV111/AV153),"",AV111/AV153)</f>
        <v/>
      </c>
      <c r="AX111" s="371"/>
      <c r="AY111" s="359" t="str">
        <f>IF(ISERROR(AX111/AX153),"",AX111/AX153)</f>
        <v/>
      </c>
      <c r="AZ111" s="358">
        <f t="shared" si="116"/>
        <v>0</v>
      </c>
      <c r="BA111" s="102"/>
      <c r="BB111" s="471"/>
      <c r="BC111" s="416" t="str">
        <f>IF(ISERROR(BB111/BB153),"",BB111/BB153)</f>
        <v/>
      </c>
      <c r="BD111" s="371"/>
      <c r="BE111" s="359" t="str">
        <f>IF(ISERROR(BD111/BD153),"",BD111/BD153)</f>
        <v/>
      </c>
      <c r="BF111" s="358">
        <f t="shared" si="117"/>
        <v>0</v>
      </c>
      <c r="BG111" s="102"/>
      <c r="BH111" s="286">
        <f t="shared" si="127"/>
        <v>0</v>
      </c>
      <c r="BI111" s="296" t="str">
        <f>IF(ISERROR(BH111/BH153),"",BH111/BH153)</f>
        <v/>
      </c>
      <c r="BJ111" s="231">
        <f t="shared" si="128"/>
        <v>0</v>
      </c>
      <c r="BK111" s="296" t="str">
        <f>IF(ISERROR(BJ111/BJ153),"",BJ111/BJ153)</f>
        <v/>
      </c>
      <c r="BL111" s="231">
        <f t="shared" si="104"/>
        <v>0</v>
      </c>
      <c r="BM111" s="102"/>
      <c r="BN111" s="99"/>
      <c r="BO111" s="471"/>
      <c r="BP111" s="416" t="str">
        <f>IF(ISERROR(BO111/BO153),"",BO111/BO153)</f>
        <v/>
      </c>
      <c r="BQ111" s="371"/>
      <c r="BR111" s="359" t="str">
        <f>IF(ISERROR(BQ111/BQ153),"",BQ111/BQ153)</f>
        <v/>
      </c>
      <c r="BS111" s="358">
        <f t="shared" si="118"/>
        <v>0</v>
      </c>
      <c r="BT111" s="102"/>
      <c r="BU111" s="471"/>
      <c r="BV111" s="416" t="str">
        <f>IF(ISERROR(BU111/BU153),"",BU111/BU153)</f>
        <v/>
      </c>
      <c r="BW111" s="371"/>
      <c r="BX111" s="359" t="str">
        <f>IF(ISERROR(BW111/BW153),"",BW111/BW153)</f>
        <v/>
      </c>
      <c r="BY111" s="358">
        <f t="shared" si="119"/>
        <v>0</v>
      </c>
      <c r="BZ111" s="102"/>
      <c r="CA111" s="471"/>
      <c r="CB111" s="416" t="str">
        <f>IF(ISERROR(CA111/CA153),"",CA111/CA153)</f>
        <v/>
      </c>
      <c r="CC111" s="371"/>
      <c r="CD111" s="359" t="str">
        <f>IF(ISERROR(CC111/CC153),"",CC111/CC153)</f>
        <v/>
      </c>
      <c r="CE111" s="358">
        <f t="shared" si="120"/>
        <v>0</v>
      </c>
      <c r="CF111" s="102"/>
      <c r="CG111" s="286">
        <f t="shared" si="129"/>
        <v>0</v>
      </c>
      <c r="CH111" s="296" t="str">
        <f>IF(ISERROR(CG111/CG153),"",CG111/CG153)</f>
        <v/>
      </c>
      <c r="CI111" s="231">
        <f t="shared" si="130"/>
        <v>0</v>
      </c>
      <c r="CJ111" s="296" t="str">
        <f>IF(ISERROR(CI111/CI153),"",CI111/CI153)</f>
        <v/>
      </c>
      <c r="CK111" s="231">
        <f t="shared" si="108"/>
        <v>0</v>
      </c>
      <c r="CL111" s="102"/>
      <c r="CM111" s="100"/>
      <c r="CN111" s="471"/>
      <c r="CO111" s="416" t="str">
        <f>IF(ISERROR(CN111/CN153),"",CN111/CN153)</f>
        <v/>
      </c>
      <c r="CP111" s="371"/>
      <c r="CQ111" s="359" t="str">
        <f>IF(ISERROR(CP111/CP153),"",CP111/CP153)</f>
        <v/>
      </c>
      <c r="CR111" s="358">
        <f t="shared" si="121"/>
        <v>0</v>
      </c>
      <c r="CS111" s="102"/>
      <c r="CT111" s="471"/>
      <c r="CU111" s="416" t="str">
        <f>IF(ISERROR(CT111/CT153),"",CT111/CT153)</f>
        <v/>
      </c>
      <c r="CV111" s="371"/>
      <c r="CW111" s="359" t="str">
        <f>IF(ISERROR(CV111/CV153),"",CV111/CV153)</f>
        <v/>
      </c>
      <c r="CX111" s="358">
        <f t="shared" si="122"/>
        <v>0</v>
      </c>
      <c r="CY111" s="102"/>
      <c r="CZ111" s="471"/>
      <c r="DA111" s="416" t="str">
        <f>IF(ISERROR(CZ111/CZ153),"",CZ111/CZ153)</f>
        <v/>
      </c>
      <c r="DB111" s="371"/>
      <c r="DC111" s="359" t="str">
        <f>IF(ISERROR(DB111/DB153),"",DB111/DB153)</f>
        <v/>
      </c>
      <c r="DD111" s="358">
        <f t="shared" si="123"/>
        <v>0</v>
      </c>
      <c r="DE111" s="102"/>
      <c r="DF111" s="286">
        <f t="shared" si="131"/>
        <v>0</v>
      </c>
      <c r="DG111" s="296" t="str">
        <f>IF(ISERROR(DF111/DF153),"",DF111/DF153)</f>
        <v/>
      </c>
      <c r="DH111" s="231">
        <f t="shared" si="132"/>
        <v>0</v>
      </c>
      <c r="DI111" s="296" t="str">
        <f>IF(ISERROR(DH111/DH153),"",DH111/DH153)</f>
        <v/>
      </c>
      <c r="DJ111" s="231">
        <f t="shared" si="112"/>
        <v>0</v>
      </c>
      <c r="DK111" s="8"/>
    </row>
    <row r="112" spans="1:115" s="3" customFormat="1" ht="21.75" customHeight="1" outlineLevel="1" x14ac:dyDescent="0.25">
      <c r="A112" s="80">
        <v>103</v>
      </c>
      <c r="B112" s="618"/>
      <c r="C112" s="604"/>
      <c r="D112" s="605"/>
      <c r="E112" s="609" t="s">
        <v>111</v>
      </c>
      <c r="F112" s="610"/>
      <c r="G112" s="610"/>
      <c r="H112" s="610"/>
      <c r="I112" s="611"/>
      <c r="J112" s="230">
        <f t="shared" si="93"/>
        <v>0</v>
      </c>
      <c r="K112" s="296" t="str">
        <f>IF(ISERROR(J112/J153),"",J112/J153)</f>
        <v/>
      </c>
      <c r="L112" s="231">
        <f t="shared" si="94"/>
        <v>0</v>
      </c>
      <c r="M112" s="296" t="str">
        <f>IF(ISERROR(L112/L153),"",L112/L153)</f>
        <v/>
      </c>
      <c r="N112" s="207">
        <f t="shared" si="124"/>
        <v>0</v>
      </c>
      <c r="O112" s="45" t="e">
        <f t="shared" si="95"/>
        <v>#VALUE!</v>
      </c>
      <c r="P112" s="47"/>
      <c r="Q112" s="471"/>
      <c r="R112" s="416" t="str">
        <f>IF(ISERROR(Q112/Q153),"",Q112/Q153)</f>
        <v/>
      </c>
      <c r="S112" s="371"/>
      <c r="T112" s="359" t="str">
        <f>IF(ISERROR(S112/S153),"",S112/S153)</f>
        <v/>
      </c>
      <c r="U112" s="358">
        <f t="shared" si="96"/>
        <v>0</v>
      </c>
      <c r="V112" s="102"/>
      <c r="W112" s="471"/>
      <c r="X112" s="416" t="str">
        <f>IF(ISERROR(W112/W153),"",W112/W153)</f>
        <v/>
      </c>
      <c r="Y112" s="371"/>
      <c r="Z112" s="359" t="str">
        <f>IF(ISERROR(Y112/Y153),"",Y112/Y153)</f>
        <v/>
      </c>
      <c r="AA112" s="358">
        <f t="shared" si="113"/>
        <v>0</v>
      </c>
      <c r="AB112" s="102"/>
      <c r="AC112" s="471"/>
      <c r="AD112" s="416" t="str">
        <f>IF(ISERROR(AC112/AC153),"",AC112/AC153)</f>
        <v/>
      </c>
      <c r="AE112" s="371"/>
      <c r="AF112" s="359" t="str">
        <f>IF(ISERROR(AE112/AE153),"",AE112/AE153)</f>
        <v/>
      </c>
      <c r="AG112" s="358">
        <f t="shared" si="114"/>
        <v>0</v>
      </c>
      <c r="AH112" s="103" t="e">
        <f t="shared" si="99"/>
        <v>#VALUE!</v>
      </c>
      <c r="AI112" s="286">
        <f t="shared" si="125"/>
        <v>0</v>
      </c>
      <c r="AJ112" s="296" t="str">
        <f>IF(ISERROR(AI112/AI153),"",AI112/AI153)</f>
        <v/>
      </c>
      <c r="AK112" s="231">
        <f t="shared" si="126"/>
        <v>0</v>
      </c>
      <c r="AL112" s="296" t="str">
        <f>IF(ISERROR(AK112/AK153),"",AK112/AK153)</f>
        <v/>
      </c>
      <c r="AM112" s="231">
        <f t="shared" si="100"/>
        <v>0</v>
      </c>
      <c r="AN112" s="102"/>
      <c r="AO112" s="99"/>
      <c r="AP112" s="471"/>
      <c r="AQ112" s="416" t="str">
        <f>IF(ISERROR(AP112/AP153),"",AP112/AP153)</f>
        <v/>
      </c>
      <c r="AR112" s="371"/>
      <c r="AS112" s="359" t="str">
        <f>IF(ISERROR(AR112/AR153),"",AR112/AR153)</f>
        <v/>
      </c>
      <c r="AT112" s="358">
        <f t="shared" si="115"/>
        <v>0</v>
      </c>
      <c r="AU112" s="102"/>
      <c r="AV112" s="471"/>
      <c r="AW112" s="416" t="str">
        <f>IF(ISERROR(AV112/AV153),"",AV112/AV153)</f>
        <v/>
      </c>
      <c r="AX112" s="371"/>
      <c r="AY112" s="359" t="str">
        <f>IF(ISERROR(AX112/AX153),"",AX112/AX153)</f>
        <v/>
      </c>
      <c r="AZ112" s="358">
        <f t="shared" si="116"/>
        <v>0</v>
      </c>
      <c r="BA112" s="102"/>
      <c r="BB112" s="471"/>
      <c r="BC112" s="416" t="str">
        <f>IF(ISERROR(BB112/BB153),"",BB112/BB153)</f>
        <v/>
      </c>
      <c r="BD112" s="371"/>
      <c r="BE112" s="359" t="str">
        <f>IF(ISERROR(BD112/BD153),"",BD112/BD153)</f>
        <v/>
      </c>
      <c r="BF112" s="358">
        <f t="shared" si="117"/>
        <v>0</v>
      </c>
      <c r="BG112" s="102"/>
      <c r="BH112" s="286">
        <f t="shared" si="127"/>
        <v>0</v>
      </c>
      <c r="BI112" s="296" t="str">
        <f>IF(ISERROR(BH112/BH153),"",BH112/BH153)</f>
        <v/>
      </c>
      <c r="BJ112" s="231">
        <f t="shared" si="128"/>
        <v>0</v>
      </c>
      <c r="BK112" s="296" t="str">
        <f>IF(ISERROR(BJ112/BJ153),"",BJ112/BJ153)</f>
        <v/>
      </c>
      <c r="BL112" s="231">
        <f t="shared" si="104"/>
        <v>0</v>
      </c>
      <c r="BM112" s="102"/>
      <c r="BN112" s="99"/>
      <c r="BO112" s="471"/>
      <c r="BP112" s="416" t="str">
        <f>IF(ISERROR(BO112/BO153),"",BO112/BO153)</f>
        <v/>
      </c>
      <c r="BQ112" s="371"/>
      <c r="BR112" s="359" t="str">
        <f>IF(ISERROR(BQ112/BQ153),"",BQ112/BQ153)</f>
        <v/>
      </c>
      <c r="BS112" s="358">
        <f t="shared" si="118"/>
        <v>0</v>
      </c>
      <c r="BT112" s="102"/>
      <c r="BU112" s="471"/>
      <c r="BV112" s="416" t="str">
        <f>IF(ISERROR(BU112/BU153),"",BU112/BU153)</f>
        <v/>
      </c>
      <c r="BW112" s="371"/>
      <c r="BX112" s="359" t="str">
        <f>IF(ISERROR(BW112/BW153),"",BW112/BW153)</f>
        <v/>
      </c>
      <c r="BY112" s="358">
        <f t="shared" si="119"/>
        <v>0</v>
      </c>
      <c r="BZ112" s="102"/>
      <c r="CA112" s="471"/>
      <c r="CB112" s="416" t="str">
        <f>IF(ISERROR(CA112/CA153),"",CA112/CA153)</f>
        <v/>
      </c>
      <c r="CC112" s="371"/>
      <c r="CD112" s="359" t="str">
        <f>IF(ISERROR(CC112/CC153),"",CC112/CC153)</f>
        <v/>
      </c>
      <c r="CE112" s="358">
        <f t="shared" si="120"/>
        <v>0</v>
      </c>
      <c r="CF112" s="102"/>
      <c r="CG112" s="286">
        <f t="shared" si="129"/>
        <v>0</v>
      </c>
      <c r="CH112" s="296" t="str">
        <f>IF(ISERROR(CG112/CG153),"",CG112/CG153)</f>
        <v/>
      </c>
      <c r="CI112" s="231">
        <f t="shared" si="130"/>
        <v>0</v>
      </c>
      <c r="CJ112" s="296" t="str">
        <f>IF(ISERROR(CI112/CI153),"",CI112/CI153)</f>
        <v/>
      </c>
      <c r="CK112" s="231">
        <f t="shared" si="108"/>
        <v>0</v>
      </c>
      <c r="CL112" s="102"/>
      <c r="CM112" s="100"/>
      <c r="CN112" s="471"/>
      <c r="CO112" s="416" t="str">
        <f>IF(ISERROR(CN112/CN153),"",CN112/CN153)</f>
        <v/>
      </c>
      <c r="CP112" s="371"/>
      <c r="CQ112" s="359" t="str">
        <f>IF(ISERROR(CP112/CP153),"",CP112/CP153)</f>
        <v/>
      </c>
      <c r="CR112" s="358">
        <f t="shared" si="121"/>
        <v>0</v>
      </c>
      <c r="CS112" s="102"/>
      <c r="CT112" s="471"/>
      <c r="CU112" s="416" t="str">
        <f>IF(ISERROR(CT112/CT153),"",CT112/CT153)</f>
        <v/>
      </c>
      <c r="CV112" s="371"/>
      <c r="CW112" s="359" t="str">
        <f>IF(ISERROR(CV112/CV153),"",CV112/CV153)</f>
        <v/>
      </c>
      <c r="CX112" s="358">
        <f t="shared" si="122"/>
        <v>0</v>
      </c>
      <c r="CY112" s="102"/>
      <c r="CZ112" s="471"/>
      <c r="DA112" s="416" t="str">
        <f>IF(ISERROR(CZ112/CZ153),"",CZ112/CZ153)</f>
        <v/>
      </c>
      <c r="DB112" s="371"/>
      <c r="DC112" s="359" t="str">
        <f>IF(ISERROR(DB112/DB153),"",DB112/DB153)</f>
        <v/>
      </c>
      <c r="DD112" s="358">
        <f t="shared" si="123"/>
        <v>0</v>
      </c>
      <c r="DE112" s="102"/>
      <c r="DF112" s="286">
        <f t="shared" si="131"/>
        <v>0</v>
      </c>
      <c r="DG112" s="296" t="str">
        <f>IF(ISERROR(DF112/DF153),"",DF112/DF153)</f>
        <v/>
      </c>
      <c r="DH112" s="231">
        <f t="shared" si="132"/>
        <v>0</v>
      </c>
      <c r="DI112" s="296" t="str">
        <f>IF(ISERROR(DH112/DH153),"",DH112/DH153)</f>
        <v/>
      </c>
      <c r="DJ112" s="231">
        <f t="shared" si="112"/>
        <v>0</v>
      </c>
      <c r="DK112" s="8"/>
    </row>
    <row r="113" spans="1:115" s="3" customFormat="1" ht="21.75" customHeight="1" outlineLevel="1" x14ac:dyDescent="0.25">
      <c r="A113" s="80">
        <v>104</v>
      </c>
      <c r="B113" s="618"/>
      <c r="C113" s="604"/>
      <c r="D113" s="605"/>
      <c r="E113" s="609" t="s">
        <v>112</v>
      </c>
      <c r="F113" s="610"/>
      <c r="G113" s="610"/>
      <c r="H113" s="610"/>
      <c r="I113" s="611"/>
      <c r="J113" s="230">
        <f t="shared" si="93"/>
        <v>0</v>
      </c>
      <c r="K113" s="296" t="str">
        <f>IF(ISERROR(J113/J153),"",J113/J153)</f>
        <v/>
      </c>
      <c r="L113" s="231">
        <f t="shared" si="94"/>
        <v>0</v>
      </c>
      <c r="M113" s="296" t="str">
        <f>IF(ISERROR(L113/L153),"",L113/L153)</f>
        <v/>
      </c>
      <c r="N113" s="207">
        <f t="shared" si="124"/>
        <v>0</v>
      </c>
      <c r="O113" s="45" t="e">
        <f t="shared" si="95"/>
        <v>#VALUE!</v>
      </c>
      <c r="P113" s="47"/>
      <c r="Q113" s="471"/>
      <c r="R113" s="416" t="str">
        <f>IF(ISERROR(Q113/Q153),"",Q113/Q153)</f>
        <v/>
      </c>
      <c r="S113" s="371"/>
      <c r="T113" s="359" t="str">
        <f>IF(ISERROR(S113/S153),"",S113/S153)</f>
        <v/>
      </c>
      <c r="U113" s="358">
        <f t="shared" si="96"/>
        <v>0</v>
      </c>
      <c r="V113" s="102"/>
      <c r="W113" s="471"/>
      <c r="X113" s="416" t="str">
        <f>IF(ISERROR(W113/W153),"",W113/W153)</f>
        <v/>
      </c>
      <c r="Y113" s="371"/>
      <c r="Z113" s="359" t="str">
        <f>IF(ISERROR(Y113/Y153),"",Y113/Y153)</f>
        <v/>
      </c>
      <c r="AA113" s="358">
        <f t="shared" si="113"/>
        <v>0</v>
      </c>
      <c r="AB113" s="102"/>
      <c r="AC113" s="471"/>
      <c r="AD113" s="416" t="str">
        <f>IF(ISERROR(AC113/AC153),"",AC113/AC153)</f>
        <v/>
      </c>
      <c r="AE113" s="371"/>
      <c r="AF113" s="359" t="str">
        <f>IF(ISERROR(AE113/AE153),"",AE113/AE153)</f>
        <v/>
      </c>
      <c r="AG113" s="358">
        <f t="shared" si="114"/>
        <v>0</v>
      </c>
      <c r="AH113" s="103" t="e">
        <f t="shared" si="99"/>
        <v>#VALUE!</v>
      </c>
      <c r="AI113" s="286">
        <f t="shared" si="125"/>
        <v>0</v>
      </c>
      <c r="AJ113" s="296" t="str">
        <f>IF(ISERROR(AI113/AI153),"",AI113/AI153)</f>
        <v/>
      </c>
      <c r="AK113" s="231">
        <f t="shared" si="126"/>
        <v>0</v>
      </c>
      <c r="AL113" s="296" t="str">
        <f>IF(ISERROR(AK113/AK153),"",AK113/AK153)</f>
        <v/>
      </c>
      <c r="AM113" s="231">
        <f t="shared" si="100"/>
        <v>0</v>
      </c>
      <c r="AN113" s="102"/>
      <c r="AO113" s="99"/>
      <c r="AP113" s="471"/>
      <c r="AQ113" s="416" t="str">
        <f>IF(ISERROR(AP113/AP153),"",AP113/AP153)</f>
        <v/>
      </c>
      <c r="AR113" s="371"/>
      <c r="AS113" s="359" t="str">
        <f>IF(ISERROR(AR113/AR153),"",AR113/AR153)</f>
        <v/>
      </c>
      <c r="AT113" s="358">
        <f t="shared" si="115"/>
        <v>0</v>
      </c>
      <c r="AU113" s="102"/>
      <c r="AV113" s="471"/>
      <c r="AW113" s="416" t="str">
        <f>IF(ISERROR(AV113/AV153),"",AV113/AV153)</f>
        <v/>
      </c>
      <c r="AX113" s="371"/>
      <c r="AY113" s="359" t="str">
        <f>IF(ISERROR(AX113/AX153),"",AX113/AX153)</f>
        <v/>
      </c>
      <c r="AZ113" s="358">
        <f t="shared" si="116"/>
        <v>0</v>
      </c>
      <c r="BA113" s="102"/>
      <c r="BB113" s="471"/>
      <c r="BC113" s="416" t="str">
        <f>IF(ISERROR(BB113/BB153),"",BB113/BB153)</f>
        <v/>
      </c>
      <c r="BD113" s="371"/>
      <c r="BE113" s="359" t="str">
        <f>IF(ISERROR(BD113/BD153),"",BD113/BD153)</f>
        <v/>
      </c>
      <c r="BF113" s="358">
        <f t="shared" si="117"/>
        <v>0</v>
      </c>
      <c r="BG113" s="102"/>
      <c r="BH113" s="286">
        <f t="shared" si="127"/>
        <v>0</v>
      </c>
      <c r="BI113" s="296" t="str">
        <f>IF(ISERROR(BH113/BH153),"",BH113/BH153)</f>
        <v/>
      </c>
      <c r="BJ113" s="231">
        <f t="shared" si="128"/>
        <v>0</v>
      </c>
      <c r="BK113" s="296" t="str">
        <f>IF(ISERROR(BJ113/BJ153),"",BJ113/BJ153)</f>
        <v/>
      </c>
      <c r="BL113" s="231">
        <f t="shared" si="104"/>
        <v>0</v>
      </c>
      <c r="BM113" s="102"/>
      <c r="BN113" s="99"/>
      <c r="BO113" s="471"/>
      <c r="BP113" s="416" t="str">
        <f>IF(ISERROR(BO113/BO153),"",BO113/BO153)</f>
        <v/>
      </c>
      <c r="BQ113" s="371"/>
      <c r="BR113" s="359" t="str">
        <f>IF(ISERROR(BQ113/BQ153),"",BQ113/BQ153)</f>
        <v/>
      </c>
      <c r="BS113" s="358">
        <f t="shared" si="118"/>
        <v>0</v>
      </c>
      <c r="BT113" s="102"/>
      <c r="BU113" s="471"/>
      <c r="BV113" s="416" t="str">
        <f>IF(ISERROR(BU113/BU153),"",BU113/BU153)</f>
        <v/>
      </c>
      <c r="BW113" s="371"/>
      <c r="BX113" s="359" t="str">
        <f>IF(ISERROR(BW113/BW153),"",BW113/BW153)</f>
        <v/>
      </c>
      <c r="BY113" s="358">
        <f t="shared" si="119"/>
        <v>0</v>
      </c>
      <c r="BZ113" s="102"/>
      <c r="CA113" s="471"/>
      <c r="CB113" s="416" t="str">
        <f>IF(ISERROR(CA113/CA153),"",CA113/CA153)</f>
        <v/>
      </c>
      <c r="CC113" s="371"/>
      <c r="CD113" s="359" t="str">
        <f>IF(ISERROR(CC113/CC153),"",CC113/CC153)</f>
        <v/>
      </c>
      <c r="CE113" s="358">
        <f t="shared" si="120"/>
        <v>0</v>
      </c>
      <c r="CF113" s="102"/>
      <c r="CG113" s="286">
        <f t="shared" si="129"/>
        <v>0</v>
      </c>
      <c r="CH113" s="296" t="str">
        <f>IF(ISERROR(CG113/CG153),"",CG113/CG153)</f>
        <v/>
      </c>
      <c r="CI113" s="231">
        <f t="shared" si="130"/>
        <v>0</v>
      </c>
      <c r="CJ113" s="296" t="str">
        <f>IF(ISERROR(CI113/CI153),"",CI113/CI153)</f>
        <v/>
      </c>
      <c r="CK113" s="231">
        <f t="shared" si="108"/>
        <v>0</v>
      </c>
      <c r="CL113" s="102"/>
      <c r="CM113" s="100"/>
      <c r="CN113" s="471"/>
      <c r="CO113" s="416" t="str">
        <f>IF(ISERROR(CN113/CN153),"",CN113/CN153)</f>
        <v/>
      </c>
      <c r="CP113" s="371"/>
      <c r="CQ113" s="359" t="str">
        <f>IF(ISERROR(CP113/CP153),"",CP113/CP153)</f>
        <v/>
      </c>
      <c r="CR113" s="358">
        <f t="shared" si="121"/>
        <v>0</v>
      </c>
      <c r="CS113" s="102"/>
      <c r="CT113" s="471"/>
      <c r="CU113" s="416" t="str">
        <f>IF(ISERROR(CT113/CT153),"",CT113/CT153)</f>
        <v/>
      </c>
      <c r="CV113" s="371"/>
      <c r="CW113" s="359" t="str">
        <f>IF(ISERROR(CV113/CV153),"",CV113/CV153)</f>
        <v/>
      </c>
      <c r="CX113" s="358">
        <f t="shared" si="122"/>
        <v>0</v>
      </c>
      <c r="CY113" s="102"/>
      <c r="CZ113" s="471"/>
      <c r="DA113" s="416" t="str">
        <f>IF(ISERROR(CZ113/CZ153),"",CZ113/CZ153)</f>
        <v/>
      </c>
      <c r="DB113" s="371"/>
      <c r="DC113" s="359" t="str">
        <f>IF(ISERROR(DB113/DB153),"",DB113/DB153)</f>
        <v/>
      </c>
      <c r="DD113" s="358">
        <f t="shared" si="123"/>
        <v>0</v>
      </c>
      <c r="DE113" s="102"/>
      <c r="DF113" s="286">
        <f t="shared" si="131"/>
        <v>0</v>
      </c>
      <c r="DG113" s="296" t="str">
        <f>IF(ISERROR(DF113/DF153),"",DF113/DF153)</f>
        <v/>
      </c>
      <c r="DH113" s="231">
        <f t="shared" si="132"/>
        <v>0</v>
      </c>
      <c r="DI113" s="296" t="str">
        <f>IF(ISERROR(DH113/DH153),"",DH113/DH153)</f>
        <v/>
      </c>
      <c r="DJ113" s="231">
        <f t="shared" si="112"/>
        <v>0</v>
      </c>
      <c r="DK113" s="8"/>
    </row>
    <row r="114" spans="1:115" s="3" customFormat="1" ht="21.75" customHeight="1" outlineLevel="1" x14ac:dyDescent="0.25">
      <c r="A114" s="80">
        <v>105</v>
      </c>
      <c r="B114" s="618"/>
      <c r="C114" s="604"/>
      <c r="D114" s="605"/>
      <c r="E114" s="609" t="s">
        <v>113</v>
      </c>
      <c r="F114" s="610"/>
      <c r="G114" s="610"/>
      <c r="H114" s="610"/>
      <c r="I114" s="611"/>
      <c r="J114" s="230">
        <f t="shared" si="93"/>
        <v>0</v>
      </c>
      <c r="K114" s="296" t="str">
        <f>IF(ISERROR(J114/J153),"",J114/J153)</f>
        <v/>
      </c>
      <c r="L114" s="231">
        <f t="shared" si="94"/>
        <v>0</v>
      </c>
      <c r="M114" s="296" t="str">
        <f>IF(ISERROR(L114/L153),"",L114/L153)</f>
        <v/>
      </c>
      <c r="N114" s="207">
        <f t="shared" si="124"/>
        <v>0</v>
      </c>
      <c r="O114" s="45" t="e">
        <f t="shared" si="95"/>
        <v>#VALUE!</v>
      </c>
      <c r="P114" s="47"/>
      <c r="Q114" s="471"/>
      <c r="R114" s="416" t="str">
        <f>IF(ISERROR(Q114/Q153),"",Q114/Q153)</f>
        <v/>
      </c>
      <c r="S114" s="371"/>
      <c r="T114" s="359" t="str">
        <f>IF(ISERROR(S114/S153),"",S114/S153)</f>
        <v/>
      </c>
      <c r="U114" s="358">
        <f t="shared" si="96"/>
        <v>0</v>
      </c>
      <c r="V114" s="102"/>
      <c r="W114" s="471"/>
      <c r="X114" s="416" t="str">
        <f>IF(ISERROR(W114/W153),"",W114/W153)</f>
        <v/>
      </c>
      <c r="Y114" s="371"/>
      <c r="Z114" s="359" t="str">
        <f>IF(ISERROR(Y114/Y153),"",Y114/Y153)</f>
        <v/>
      </c>
      <c r="AA114" s="358">
        <f t="shared" si="113"/>
        <v>0</v>
      </c>
      <c r="AB114" s="102"/>
      <c r="AC114" s="471"/>
      <c r="AD114" s="416" t="str">
        <f>IF(ISERROR(AC114/AC153),"",AC114/AC153)</f>
        <v/>
      </c>
      <c r="AE114" s="371"/>
      <c r="AF114" s="359" t="str">
        <f>IF(ISERROR(AE114/AE153),"",AE114/AE153)</f>
        <v/>
      </c>
      <c r="AG114" s="358">
        <f t="shared" si="114"/>
        <v>0</v>
      </c>
      <c r="AH114" s="103" t="e">
        <f t="shared" si="99"/>
        <v>#VALUE!</v>
      </c>
      <c r="AI114" s="286">
        <f t="shared" si="125"/>
        <v>0</v>
      </c>
      <c r="AJ114" s="296" t="str">
        <f>IF(ISERROR(AI114/AI153),"",AI114/AI153)</f>
        <v/>
      </c>
      <c r="AK114" s="231">
        <f t="shared" si="126"/>
        <v>0</v>
      </c>
      <c r="AL114" s="296" t="str">
        <f>IF(ISERROR(AK114/AK153),"",AK114/AK153)</f>
        <v/>
      </c>
      <c r="AM114" s="231">
        <f t="shared" si="100"/>
        <v>0</v>
      </c>
      <c r="AN114" s="102"/>
      <c r="AO114" s="99"/>
      <c r="AP114" s="471"/>
      <c r="AQ114" s="416" t="str">
        <f>IF(ISERROR(AP114/AP153),"",AP114/AP153)</f>
        <v/>
      </c>
      <c r="AR114" s="371"/>
      <c r="AS114" s="359" t="str">
        <f>IF(ISERROR(AR114/AR153),"",AR114/AR153)</f>
        <v/>
      </c>
      <c r="AT114" s="358">
        <f t="shared" si="115"/>
        <v>0</v>
      </c>
      <c r="AU114" s="102"/>
      <c r="AV114" s="471"/>
      <c r="AW114" s="416" t="str">
        <f>IF(ISERROR(AV114/AV153),"",AV114/AV153)</f>
        <v/>
      </c>
      <c r="AX114" s="371"/>
      <c r="AY114" s="359" t="str">
        <f>IF(ISERROR(AX114/AX153),"",AX114/AX153)</f>
        <v/>
      </c>
      <c r="AZ114" s="358">
        <f t="shared" si="116"/>
        <v>0</v>
      </c>
      <c r="BA114" s="102"/>
      <c r="BB114" s="471"/>
      <c r="BC114" s="416" t="str">
        <f>IF(ISERROR(BB114/BB153),"",BB114/BB153)</f>
        <v/>
      </c>
      <c r="BD114" s="371"/>
      <c r="BE114" s="359" t="str">
        <f>IF(ISERROR(BD114/BD153),"",BD114/BD153)</f>
        <v/>
      </c>
      <c r="BF114" s="358">
        <f t="shared" si="117"/>
        <v>0</v>
      </c>
      <c r="BG114" s="102"/>
      <c r="BH114" s="286">
        <f t="shared" si="127"/>
        <v>0</v>
      </c>
      <c r="BI114" s="296" t="str">
        <f>IF(ISERROR(BH114/BH153),"",BH114/BH153)</f>
        <v/>
      </c>
      <c r="BJ114" s="231">
        <f t="shared" si="128"/>
        <v>0</v>
      </c>
      <c r="BK114" s="296" t="str">
        <f>IF(ISERROR(BJ114/BJ153),"",BJ114/BJ153)</f>
        <v/>
      </c>
      <c r="BL114" s="231">
        <f t="shared" si="104"/>
        <v>0</v>
      </c>
      <c r="BM114" s="102"/>
      <c r="BN114" s="99"/>
      <c r="BO114" s="471"/>
      <c r="BP114" s="416" t="str">
        <f>IF(ISERROR(BO114/BO153),"",BO114/BO153)</f>
        <v/>
      </c>
      <c r="BQ114" s="371"/>
      <c r="BR114" s="359" t="str">
        <f>IF(ISERROR(BQ114/BQ153),"",BQ114/BQ153)</f>
        <v/>
      </c>
      <c r="BS114" s="358">
        <f t="shared" si="118"/>
        <v>0</v>
      </c>
      <c r="BT114" s="102"/>
      <c r="BU114" s="471"/>
      <c r="BV114" s="416" t="str">
        <f>IF(ISERROR(BU114/BU153),"",BU114/BU153)</f>
        <v/>
      </c>
      <c r="BW114" s="371"/>
      <c r="BX114" s="359" t="str">
        <f>IF(ISERROR(BW114/BW153),"",BW114/BW153)</f>
        <v/>
      </c>
      <c r="BY114" s="358">
        <f t="shared" si="119"/>
        <v>0</v>
      </c>
      <c r="BZ114" s="102"/>
      <c r="CA114" s="471"/>
      <c r="CB114" s="416" t="str">
        <f>IF(ISERROR(CA114/CA153),"",CA114/CA153)</f>
        <v/>
      </c>
      <c r="CC114" s="371"/>
      <c r="CD114" s="359" t="str">
        <f>IF(ISERROR(CC114/CC153),"",CC114/CC153)</f>
        <v/>
      </c>
      <c r="CE114" s="358">
        <f t="shared" si="120"/>
        <v>0</v>
      </c>
      <c r="CF114" s="102"/>
      <c r="CG114" s="286">
        <f t="shared" si="129"/>
        <v>0</v>
      </c>
      <c r="CH114" s="296" t="str">
        <f>IF(ISERROR(CG114/CG153),"",CG114/CG153)</f>
        <v/>
      </c>
      <c r="CI114" s="231">
        <f t="shared" si="130"/>
        <v>0</v>
      </c>
      <c r="CJ114" s="296" t="str">
        <f>IF(ISERROR(CI114/CI153),"",CI114/CI153)</f>
        <v/>
      </c>
      <c r="CK114" s="231">
        <f t="shared" si="108"/>
        <v>0</v>
      </c>
      <c r="CL114" s="102"/>
      <c r="CM114" s="100"/>
      <c r="CN114" s="471"/>
      <c r="CO114" s="416" t="str">
        <f>IF(ISERROR(CN114/CN153),"",CN114/CN153)</f>
        <v/>
      </c>
      <c r="CP114" s="371"/>
      <c r="CQ114" s="359" t="str">
        <f>IF(ISERROR(CP114/CP153),"",CP114/CP153)</f>
        <v/>
      </c>
      <c r="CR114" s="358">
        <f t="shared" si="121"/>
        <v>0</v>
      </c>
      <c r="CS114" s="102"/>
      <c r="CT114" s="471"/>
      <c r="CU114" s="416" t="str">
        <f>IF(ISERROR(CT114/CT153),"",CT114/CT153)</f>
        <v/>
      </c>
      <c r="CV114" s="371"/>
      <c r="CW114" s="359" t="str">
        <f>IF(ISERROR(CV114/CV153),"",CV114/CV153)</f>
        <v/>
      </c>
      <c r="CX114" s="358">
        <f t="shared" si="122"/>
        <v>0</v>
      </c>
      <c r="CY114" s="102"/>
      <c r="CZ114" s="471"/>
      <c r="DA114" s="416" t="str">
        <f>IF(ISERROR(CZ114/CZ153),"",CZ114/CZ153)</f>
        <v/>
      </c>
      <c r="DB114" s="371"/>
      <c r="DC114" s="359" t="str">
        <f>IF(ISERROR(DB114/DB153),"",DB114/DB153)</f>
        <v/>
      </c>
      <c r="DD114" s="358">
        <f t="shared" si="123"/>
        <v>0</v>
      </c>
      <c r="DE114" s="102"/>
      <c r="DF114" s="286">
        <f t="shared" si="131"/>
        <v>0</v>
      </c>
      <c r="DG114" s="296" t="str">
        <f>IF(ISERROR(DF114/DF153),"",DF114/DF153)</f>
        <v/>
      </c>
      <c r="DH114" s="231">
        <f t="shared" si="132"/>
        <v>0</v>
      </c>
      <c r="DI114" s="296" t="str">
        <f>IF(ISERROR(DH114/DH153),"",DH114/DH153)</f>
        <v/>
      </c>
      <c r="DJ114" s="231">
        <f t="shared" si="112"/>
        <v>0</v>
      </c>
      <c r="DK114" s="8"/>
    </row>
    <row r="115" spans="1:115" s="3" customFormat="1" ht="21.75" customHeight="1" outlineLevel="1" thickBot="1" x14ac:dyDescent="0.3">
      <c r="A115" s="80">
        <v>106</v>
      </c>
      <c r="B115" s="618"/>
      <c r="C115" s="604"/>
      <c r="D115" s="605"/>
      <c r="E115" s="609" t="s">
        <v>114</v>
      </c>
      <c r="F115" s="610"/>
      <c r="G115" s="610"/>
      <c r="H115" s="610"/>
      <c r="I115" s="611"/>
      <c r="J115" s="230">
        <f t="shared" si="93"/>
        <v>0</v>
      </c>
      <c r="K115" s="296" t="str">
        <f>IF(ISERROR(J115/J153),"",J115/J153)</f>
        <v/>
      </c>
      <c r="L115" s="231">
        <f t="shared" si="94"/>
        <v>0</v>
      </c>
      <c r="M115" s="296" t="str">
        <f>IF(ISERROR(L115/L153),"",L115/L153)</f>
        <v/>
      </c>
      <c r="N115" s="207">
        <f t="shared" si="124"/>
        <v>0</v>
      </c>
      <c r="O115" s="45" t="e">
        <f t="shared" si="95"/>
        <v>#VALUE!</v>
      </c>
      <c r="P115" s="47"/>
      <c r="Q115" s="485"/>
      <c r="R115" s="416" t="str">
        <f>IF(ISERROR(Q115/Q153),"",Q115/Q153)</f>
        <v/>
      </c>
      <c r="S115" s="371"/>
      <c r="T115" s="359" t="str">
        <f>IF(ISERROR(S115/S153),"",S115/S153)</f>
        <v/>
      </c>
      <c r="U115" s="358">
        <f t="shared" si="96"/>
        <v>0</v>
      </c>
      <c r="V115" s="102"/>
      <c r="W115" s="485"/>
      <c r="X115" s="416" t="str">
        <f>IF(ISERROR(W115/W153),"",W115/W153)</f>
        <v/>
      </c>
      <c r="Y115" s="371"/>
      <c r="Z115" s="359" t="str">
        <f>IF(ISERROR(Y115/Y153),"",Y115/Y153)</f>
        <v/>
      </c>
      <c r="AA115" s="358">
        <f t="shared" si="113"/>
        <v>0</v>
      </c>
      <c r="AB115" s="102"/>
      <c r="AC115" s="485"/>
      <c r="AD115" s="416" t="str">
        <f>IF(ISERROR(AC115/AC153),"",AC115/AC153)</f>
        <v/>
      </c>
      <c r="AE115" s="371"/>
      <c r="AF115" s="359" t="str">
        <f>IF(ISERROR(AE115/AE153),"",AE115/AE153)</f>
        <v/>
      </c>
      <c r="AG115" s="358">
        <f t="shared" si="114"/>
        <v>0</v>
      </c>
      <c r="AH115" s="103" t="e">
        <f t="shared" si="99"/>
        <v>#VALUE!</v>
      </c>
      <c r="AI115" s="286">
        <f t="shared" si="125"/>
        <v>0</v>
      </c>
      <c r="AJ115" s="296" t="str">
        <f>IF(ISERROR(AI115/AI153),"",AI115/AI153)</f>
        <v/>
      </c>
      <c r="AK115" s="231">
        <f t="shared" si="126"/>
        <v>0</v>
      </c>
      <c r="AL115" s="296" t="str">
        <f>IF(ISERROR(AK115/AK153),"",AK115/AK153)</f>
        <v/>
      </c>
      <c r="AM115" s="231">
        <f t="shared" si="100"/>
        <v>0</v>
      </c>
      <c r="AN115" s="102"/>
      <c r="AO115" s="99"/>
      <c r="AP115" s="485"/>
      <c r="AQ115" s="416" t="str">
        <f>IF(ISERROR(AP115/AP153),"",AP115/AP153)</f>
        <v/>
      </c>
      <c r="AR115" s="371"/>
      <c r="AS115" s="359" t="str">
        <f>IF(ISERROR(AR115/AR153),"",AR115/AR153)</f>
        <v/>
      </c>
      <c r="AT115" s="358">
        <f t="shared" si="115"/>
        <v>0</v>
      </c>
      <c r="AU115" s="102"/>
      <c r="AV115" s="485"/>
      <c r="AW115" s="416" t="str">
        <f>IF(ISERROR(AV115/AV153),"",AV115/AV153)</f>
        <v/>
      </c>
      <c r="AX115" s="371"/>
      <c r="AY115" s="359" t="str">
        <f>IF(ISERROR(AX115/AX153),"",AX115/AX153)</f>
        <v/>
      </c>
      <c r="AZ115" s="358">
        <f t="shared" si="116"/>
        <v>0</v>
      </c>
      <c r="BA115" s="102"/>
      <c r="BB115" s="485"/>
      <c r="BC115" s="416" t="str">
        <f>IF(ISERROR(BB115/BB153),"",BB115/BB153)</f>
        <v/>
      </c>
      <c r="BD115" s="371"/>
      <c r="BE115" s="359" t="str">
        <f>IF(ISERROR(BD115/BD153),"",BD115/BD153)</f>
        <v/>
      </c>
      <c r="BF115" s="358">
        <f t="shared" si="117"/>
        <v>0</v>
      </c>
      <c r="BG115" s="102"/>
      <c r="BH115" s="286">
        <f t="shared" si="127"/>
        <v>0</v>
      </c>
      <c r="BI115" s="296" t="str">
        <f>IF(ISERROR(BH115/BH153),"",BH115/BH153)</f>
        <v/>
      </c>
      <c r="BJ115" s="231">
        <f t="shared" si="128"/>
        <v>0</v>
      </c>
      <c r="BK115" s="296" t="str">
        <f>IF(ISERROR(BJ115/BJ153),"",BJ115/BJ153)</f>
        <v/>
      </c>
      <c r="BL115" s="231">
        <f t="shared" si="104"/>
        <v>0</v>
      </c>
      <c r="BM115" s="102"/>
      <c r="BN115" s="99"/>
      <c r="BO115" s="485"/>
      <c r="BP115" s="416" t="str">
        <f>IF(ISERROR(BO115/BO153),"",BO115/BO153)</f>
        <v/>
      </c>
      <c r="BQ115" s="371"/>
      <c r="BR115" s="359" t="str">
        <f>IF(ISERROR(BQ115/BQ153),"",BQ115/BQ153)</f>
        <v/>
      </c>
      <c r="BS115" s="358">
        <f t="shared" si="118"/>
        <v>0</v>
      </c>
      <c r="BT115" s="102"/>
      <c r="BU115" s="485"/>
      <c r="BV115" s="416" t="str">
        <f>IF(ISERROR(BU115/BU153),"",BU115/BU153)</f>
        <v/>
      </c>
      <c r="BW115" s="371"/>
      <c r="BX115" s="359" t="str">
        <f>IF(ISERROR(BW115/BW153),"",BW115/BW153)</f>
        <v/>
      </c>
      <c r="BY115" s="358">
        <f t="shared" si="119"/>
        <v>0</v>
      </c>
      <c r="BZ115" s="102"/>
      <c r="CA115" s="485"/>
      <c r="CB115" s="416" t="str">
        <f>IF(ISERROR(CA115/CA153),"",CA115/CA153)</f>
        <v/>
      </c>
      <c r="CC115" s="371"/>
      <c r="CD115" s="359" t="str">
        <f>IF(ISERROR(CC115/CC153),"",CC115/CC153)</f>
        <v/>
      </c>
      <c r="CE115" s="358">
        <f t="shared" si="120"/>
        <v>0</v>
      </c>
      <c r="CF115" s="102"/>
      <c r="CG115" s="286">
        <f t="shared" si="129"/>
        <v>0</v>
      </c>
      <c r="CH115" s="296" t="str">
        <f>IF(ISERROR(CG115/CG153),"",CG115/CG153)</f>
        <v/>
      </c>
      <c r="CI115" s="231">
        <f t="shared" si="130"/>
        <v>0</v>
      </c>
      <c r="CJ115" s="296" t="str">
        <f>IF(ISERROR(CI115/CI153),"",CI115/CI153)</f>
        <v/>
      </c>
      <c r="CK115" s="231">
        <f t="shared" si="108"/>
        <v>0</v>
      </c>
      <c r="CL115" s="102"/>
      <c r="CM115" s="100"/>
      <c r="CN115" s="485"/>
      <c r="CO115" s="416" t="str">
        <f>IF(ISERROR(CN115/CN153),"",CN115/CN153)</f>
        <v/>
      </c>
      <c r="CP115" s="371"/>
      <c r="CQ115" s="359" t="str">
        <f>IF(ISERROR(CP115/CP153),"",CP115/CP153)</f>
        <v/>
      </c>
      <c r="CR115" s="358">
        <f t="shared" si="121"/>
        <v>0</v>
      </c>
      <c r="CS115" s="102"/>
      <c r="CT115" s="485"/>
      <c r="CU115" s="416" t="str">
        <f>IF(ISERROR(CT115/CT153),"",CT115/CT153)</f>
        <v/>
      </c>
      <c r="CV115" s="371"/>
      <c r="CW115" s="359" t="str">
        <f>IF(ISERROR(CV115/CV153),"",CV115/CV153)</f>
        <v/>
      </c>
      <c r="CX115" s="358">
        <f t="shared" si="122"/>
        <v>0</v>
      </c>
      <c r="CY115" s="102"/>
      <c r="CZ115" s="485"/>
      <c r="DA115" s="416" t="str">
        <f>IF(ISERROR(CZ115/CZ153),"",CZ115/CZ153)</f>
        <v/>
      </c>
      <c r="DB115" s="371"/>
      <c r="DC115" s="359" t="str">
        <f>IF(ISERROR(DB115/DB153),"",DB115/DB153)</f>
        <v/>
      </c>
      <c r="DD115" s="358">
        <f t="shared" si="123"/>
        <v>0</v>
      </c>
      <c r="DE115" s="102"/>
      <c r="DF115" s="286">
        <f t="shared" si="131"/>
        <v>0</v>
      </c>
      <c r="DG115" s="296" t="str">
        <f>IF(ISERROR(DF115/DF153),"",DF115/DF153)</f>
        <v/>
      </c>
      <c r="DH115" s="231">
        <f t="shared" si="132"/>
        <v>0</v>
      </c>
      <c r="DI115" s="296" t="str">
        <f>IF(ISERROR(DH115/DH153),"",DH115/DH153)</f>
        <v/>
      </c>
      <c r="DJ115" s="231">
        <f t="shared" si="112"/>
        <v>0</v>
      </c>
      <c r="DK115" s="8"/>
    </row>
    <row r="116" spans="1:115" s="3" customFormat="1" ht="21.75" customHeight="1" outlineLevel="1" thickTop="1" x14ac:dyDescent="0.25">
      <c r="A116" s="80">
        <v>107</v>
      </c>
      <c r="B116" s="618"/>
      <c r="C116" s="604"/>
      <c r="D116" s="605"/>
      <c r="E116" s="612" t="s">
        <v>115</v>
      </c>
      <c r="F116" s="613"/>
      <c r="G116" s="613"/>
      <c r="H116" s="613"/>
      <c r="I116" s="614"/>
      <c r="J116" s="230">
        <f t="shared" si="93"/>
        <v>0</v>
      </c>
      <c r="K116" s="296" t="str">
        <f>IF(ISERROR(J116/J153),"",J116/J153)</f>
        <v/>
      </c>
      <c r="L116" s="231">
        <f t="shared" si="94"/>
        <v>0</v>
      </c>
      <c r="M116" s="296" t="str">
        <f>IF(ISERROR(L116/L153),"",L116/L153)</f>
        <v/>
      </c>
      <c r="N116" s="207">
        <f t="shared" si="124"/>
        <v>0</v>
      </c>
      <c r="O116" s="45" t="e">
        <f t="shared" si="95"/>
        <v>#VALUE!</v>
      </c>
      <c r="P116" s="47"/>
      <c r="Q116" s="486">
        <f>Q153*R116</f>
        <v>0</v>
      </c>
      <c r="R116" s="416">
        <v>60</v>
      </c>
      <c r="S116" s="371"/>
      <c r="T116" s="359" t="str">
        <f>IF(ISERROR(S116/S153),"",S116/S153)</f>
        <v/>
      </c>
      <c r="U116" s="358">
        <f t="shared" si="96"/>
        <v>0</v>
      </c>
      <c r="V116" s="102"/>
      <c r="W116" s="486">
        <f>W153*X116</f>
        <v>0</v>
      </c>
      <c r="X116" s="416">
        <v>60</v>
      </c>
      <c r="Y116" s="371"/>
      <c r="Z116" s="359" t="str">
        <f>IF(ISERROR(Y116/Y153),"",Y116/Y153)</f>
        <v/>
      </c>
      <c r="AA116" s="358">
        <f t="shared" si="113"/>
        <v>0</v>
      </c>
      <c r="AB116" s="102"/>
      <c r="AC116" s="486">
        <f>AC153*AD116</f>
        <v>0</v>
      </c>
      <c r="AD116" s="416">
        <v>60</v>
      </c>
      <c r="AE116" s="371"/>
      <c r="AF116" s="359" t="str">
        <f>IF(ISERROR(AE116/AE153),"",AE116/AE153)</f>
        <v/>
      </c>
      <c r="AG116" s="358">
        <f t="shared" si="114"/>
        <v>0</v>
      </c>
      <c r="AH116" s="103" t="e">
        <f t="shared" si="99"/>
        <v>#VALUE!</v>
      </c>
      <c r="AI116" s="286">
        <f t="shared" si="125"/>
        <v>0</v>
      </c>
      <c r="AJ116" s="296" t="str">
        <f>IF(ISERROR(AI116/AI153),"",AI116/AI153)</f>
        <v/>
      </c>
      <c r="AK116" s="231">
        <f t="shared" si="126"/>
        <v>0</v>
      </c>
      <c r="AL116" s="296" t="str">
        <f>IF(ISERROR(AK116/AK153),"",AK116/AK153)</f>
        <v/>
      </c>
      <c r="AM116" s="231">
        <f t="shared" si="100"/>
        <v>0</v>
      </c>
      <c r="AN116" s="102"/>
      <c r="AO116" s="99"/>
      <c r="AP116" s="486">
        <f>AP153*AQ116</f>
        <v>0</v>
      </c>
      <c r="AQ116" s="416">
        <v>60</v>
      </c>
      <c r="AR116" s="371"/>
      <c r="AS116" s="359" t="str">
        <f>IF(ISERROR(AR116/AR153),"",AR116/AR153)</f>
        <v/>
      </c>
      <c r="AT116" s="358">
        <f t="shared" si="115"/>
        <v>0</v>
      </c>
      <c r="AU116" s="102"/>
      <c r="AV116" s="486">
        <f>AV153*AW116</f>
        <v>0</v>
      </c>
      <c r="AW116" s="416">
        <v>60</v>
      </c>
      <c r="AX116" s="371"/>
      <c r="AY116" s="359" t="str">
        <f>IF(ISERROR(AX116/AX153),"",AX116/AX153)</f>
        <v/>
      </c>
      <c r="AZ116" s="358">
        <f t="shared" si="116"/>
        <v>0</v>
      </c>
      <c r="BA116" s="102"/>
      <c r="BB116" s="486">
        <f>BB153*BC116</f>
        <v>0</v>
      </c>
      <c r="BC116" s="416">
        <v>60</v>
      </c>
      <c r="BD116" s="371"/>
      <c r="BE116" s="359" t="str">
        <f>IF(ISERROR(BD116/BD153),"",BD116/BD153)</f>
        <v/>
      </c>
      <c r="BF116" s="358">
        <f t="shared" si="117"/>
        <v>0</v>
      </c>
      <c r="BG116" s="102"/>
      <c r="BH116" s="286">
        <f t="shared" si="127"/>
        <v>0</v>
      </c>
      <c r="BI116" s="296" t="str">
        <f>IF(ISERROR(BH116/BH153),"",BH116/BH153)</f>
        <v/>
      </c>
      <c r="BJ116" s="231">
        <f t="shared" si="128"/>
        <v>0</v>
      </c>
      <c r="BK116" s="296" t="str">
        <f>IF(ISERROR(BJ116/BJ153),"",BJ116/BJ153)</f>
        <v/>
      </c>
      <c r="BL116" s="231">
        <f t="shared" si="104"/>
        <v>0</v>
      </c>
      <c r="BM116" s="102"/>
      <c r="BN116" s="99"/>
      <c r="BO116" s="486">
        <f>BO153*BP116</f>
        <v>0</v>
      </c>
      <c r="BP116" s="416">
        <v>60</v>
      </c>
      <c r="BQ116" s="371"/>
      <c r="BR116" s="359" t="str">
        <f>IF(ISERROR(BQ116/BQ153),"",BQ116/BQ153)</f>
        <v/>
      </c>
      <c r="BS116" s="358">
        <f t="shared" si="118"/>
        <v>0</v>
      </c>
      <c r="BT116" s="102"/>
      <c r="BU116" s="486">
        <f>BU153*BV116</f>
        <v>0</v>
      </c>
      <c r="BV116" s="416">
        <v>60</v>
      </c>
      <c r="BW116" s="371"/>
      <c r="BX116" s="359" t="str">
        <f>IF(ISERROR(BW116/BW153),"",BW116/BW153)</f>
        <v/>
      </c>
      <c r="BY116" s="358">
        <f t="shared" si="119"/>
        <v>0</v>
      </c>
      <c r="BZ116" s="102"/>
      <c r="CA116" s="486">
        <f>CA153*CB116</f>
        <v>0</v>
      </c>
      <c r="CB116" s="416">
        <v>60</v>
      </c>
      <c r="CC116" s="371"/>
      <c r="CD116" s="359" t="str">
        <f>IF(ISERROR(CC116/CC153),"",CC116/CC153)</f>
        <v/>
      </c>
      <c r="CE116" s="358">
        <f t="shared" si="120"/>
        <v>0</v>
      </c>
      <c r="CF116" s="102"/>
      <c r="CG116" s="286">
        <f t="shared" si="129"/>
        <v>0</v>
      </c>
      <c r="CH116" s="296" t="str">
        <f>IF(ISERROR(CG116/CG153),"",CG116/CG153)</f>
        <v/>
      </c>
      <c r="CI116" s="231">
        <f t="shared" si="130"/>
        <v>0</v>
      </c>
      <c r="CJ116" s="296" t="str">
        <f>IF(ISERROR(CI116/CI153),"",CI116/CI153)</f>
        <v/>
      </c>
      <c r="CK116" s="231">
        <f t="shared" si="108"/>
        <v>0</v>
      </c>
      <c r="CL116" s="102"/>
      <c r="CM116" s="100"/>
      <c r="CN116" s="486">
        <f>CN153*CO116</f>
        <v>0</v>
      </c>
      <c r="CO116" s="416">
        <v>60</v>
      </c>
      <c r="CP116" s="371"/>
      <c r="CQ116" s="359" t="str">
        <f>IF(ISERROR(CP116/CP153),"",CP116/CP153)</f>
        <v/>
      </c>
      <c r="CR116" s="358">
        <f t="shared" si="121"/>
        <v>0</v>
      </c>
      <c r="CS116" s="102"/>
      <c r="CT116" s="486">
        <f>CT153*CU116</f>
        <v>0</v>
      </c>
      <c r="CU116" s="416">
        <v>60</v>
      </c>
      <c r="CV116" s="371"/>
      <c r="CW116" s="359" t="str">
        <f>IF(ISERROR(CV116/CV153),"",CV116/CV153)</f>
        <v/>
      </c>
      <c r="CX116" s="358">
        <f t="shared" si="122"/>
        <v>0</v>
      </c>
      <c r="CY116" s="102"/>
      <c r="CZ116" s="486">
        <f>CZ153*DA116</f>
        <v>0</v>
      </c>
      <c r="DA116" s="416">
        <v>60</v>
      </c>
      <c r="DB116" s="371"/>
      <c r="DC116" s="359" t="str">
        <f>IF(ISERROR(DB116/DB153),"",DB116/DB153)</f>
        <v/>
      </c>
      <c r="DD116" s="358">
        <f t="shared" si="123"/>
        <v>0</v>
      </c>
      <c r="DE116" s="102"/>
      <c r="DF116" s="286">
        <f t="shared" si="131"/>
        <v>0</v>
      </c>
      <c r="DG116" s="296" t="str">
        <f>IF(ISERROR(DF116/DF153),"",DF116/DF153)</f>
        <v/>
      </c>
      <c r="DH116" s="231">
        <f t="shared" si="132"/>
        <v>0</v>
      </c>
      <c r="DI116" s="296" t="str">
        <f>IF(ISERROR(DH116/DH153),"",DH116/DH153)</f>
        <v/>
      </c>
      <c r="DJ116" s="231">
        <f t="shared" si="112"/>
        <v>0</v>
      </c>
      <c r="DK116" s="8"/>
    </row>
    <row r="117" spans="1:115" s="3" customFormat="1" ht="21.75" customHeight="1" outlineLevel="1" thickBot="1" x14ac:dyDescent="0.3">
      <c r="A117" s="80">
        <v>108</v>
      </c>
      <c r="B117" s="618"/>
      <c r="C117" s="604"/>
      <c r="D117" s="605"/>
      <c r="E117" s="615" t="s">
        <v>56</v>
      </c>
      <c r="F117" s="615"/>
      <c r="G117" s="615"/>
      <c r="H117" s="615"/>
      <c r="I117" s="616"/>
      <c r="J117" s="264">
        <f t="shared" si="93"/>
        <v>0</v>
      </c>
      <c r="K117" s="307" t="str">
        <f>IF(ISERROR(J117/J153),"",J117/J153)</f>
        <v/>
      </c>
      <c r="L117" s="265">
        <f t="shared" si="94"/>
        <v>0</v>
      </c>
      <c r="M117" s="307" t="str">
        <f>IF(ISERROR(L117/L153),"",L117/L153)</f>
        <v/>
      </c>
      <c r="N117" s="224">
        <f t="shared" si="124"/>
        <v>0</v>
      </c>
      <c r="O117" s="63" t="e">
        <f t="shared" si="95"/>
        <v>#VALUE!</v>
      </c>
      <c r="P117" s="47"/>
      <c r="Q117" s="420">
        <f>SUM(Q109:Q116)</f>
        <v>0</v>
      </c>
      <c r="R117" s="421" t="str">
        <f>IF(ISERROR(Q117/Q153),"",Q117/Q153)</f>
        <v/>
      </c>
      <c r="S117" s="419">
        <f>SUM(S109:S116)</f>
        <v>0</v>
      </c>
      <c r="T117" s="418" t="str">
        <f>IF(ISERROR(S117/S153),"",S117/S153)</f>
        <v/>
      </c>
      <c r="U117" s="419">
        <f t="shared" si="96"/>
        <v>0</v>
      </c>
      <c r="V117" s="141"/>
      <c r="W117" s="420">
        <f>SUM(W109:W116)</f>
        <v>0</v>
      </c>
      <c r="X117" s="421" t="str">
        <f>IF(ISERROR(W117/W153),"",W117/W153)</f>
        <v/>
      </c>
      <c r="Y117" s="419">
        <f>SUM(Y109:Y116)</f>
        <v>0</v>
      </c>
      <c r="Z117" s="418" t="str">
        <f>IF(ISERROR(Y117/Y153),"",Y117/Y153)</f>
        <v/>
      </c>
      <c r="AA117" s="419">
        <f t="shared" si="113"/>
        <v>0</v>
      </c>
      <c r="AB117" s="141"/>
      <c r="AC117" s="420">
        <f>SUM(AC109:AC116)</f>
        <v>0</v>
      </c>
      <c r="AD117" s="421" t="str">
        <f>IF(ISERROR(AC117/AC153),"",AC117/AC153)</f>
        <v/>
      </c>
      <c r="AE117" s="419">
        <f>SUM(AE109:AE116)</f>
        <v>0</v>
      </c>
      <c r="AF117" s="418" t="str">
        <f>IF(ISERROR(AE117/AE153),"",AE117/AE153)</f>
        <v/>
      </c>
      <c r="AG117" s="419">
        <f t="shared" si="114"/>
        <v>0</v>
      </c>
      <c r="AH117" s="140" t="e">
        <f t="shared" si="99"/>
        <v>#VALUE!</v>
      </c>
      <c r="AI117" s="264">
        <f t="shared" si="125"/>
        <v>0</v>
      </c>
      <c r="AJ117" s="307" t="str">
        <f>IF(ISERROR(AI117/AI153),"",AI117/AI153)</f>
        <v/>
      </c>
      <c r="AK117" s="265">
        <f t="shared" si="126"/>
        <v>0</v>
      </c>
      <c r="AL117" s="307" t="str">
        <f>IF(ISERROR(AK117/AK153),"",AK117/AK153)</f>
        <v/>
      </c>
      <c r="AM117" s="265">
        <f t="shared" si="100"/>
        <v>0</v>
      </c>
      <c r="AN117" s="141"/>
      <c r="AO117" s="99"/>
      <c r="AP117" s="420">
        <f>SUM(AP109:AP116)</f>
        <v>0</v>
      </c>
      <c r="AQ117" s="421" t="str">
        <f>IF(ISERROR(AP117/AP153),"",AP117/AP153)</f>
        <v/>
      </c>
      <c r="AR117" s="419">
        <f>SUM(AR109:AR116)</f>
        <v>0</v>
      </c>
      <c r="AS117" s="418" t="str">
        <f>IF(ISERROR(AR117/AR153),"",AR117/AR153)</f>
        <v/>
      </c>
      <c r="AT117" s="419">
        <f t="shared" si="115"/>
        <v>0</v>
      </c>
      <c r="AU117" s="141"/>
      <c r="AV117" s="420">
        <f>SUM(AV109:AV116)</f>
        <v>0</v>
      </c>
      <c r="AW117" s="421" t="str">
        <f>IF(ISERROR(AV117/AV153),"",AV117/AV153)</f>
        <v/>
      </c>
      <c r="AX117" s="419">
        <f>SUM(AX109:AX116)</f>
        <v>0</v>
      </c>
      <c r="AY117" s="418" t="str">
        <f>IF(ISERROR(AX117/AX153),"",AX117/AX153)</f>
        <v/>
      </c>
      <c r="AZ117" s="419">
        <f t="shared" si="116"/>
        <v>0</v>
      </c>
      <c r="BA117" s="141"/>
      <c r="BB117" s="420">
        <f>SUM(BB109:BB116)</f>
        <v>0</v>
      </c>
      <c r="BC117" s="421" t="str">
        <f>IF(ISERROR(BB117/BB153),"",BB117/BB153)</f>
        <v/>
      </c>
      <c r="BD117" s="419">
        <f>SUM(BD109:BD116)</f>
        <v>0</v>
      </c>
      <c r="BE117" s="418" t="str">
        <f>IF(ISERROR(BD117/BD153),"",BD117/BD153)</f>
        <v/>
      </c>
      <c r="BF117" s="419">
        <f t="shared" si="117"/>
        <v>0</v>
      </c>
      <c r="BG117" s="141"/>
      <c r="BH117" s="264">
        <f t="shared" si="127"/>
        <v>0</v>
      </c>
      <c r="BI117" s="307" t="str">
        <f>IF(ISERROR(BH117/BH153),"",BH117/BH153)</f>
        <v/>
      </c>
      <c r="BJ117" s="265">
        <f t="shared" si="128"/>
        <v>0</v>
      </c>
      <c r="BK117" s="307" t="str">
        <f>IF(ISERROR(BJ117/BJ153),"",BJ117/BJ153)</f>
        <v/>
      </c>
      <c r="BL117" s="265">
        <f t="shared" si="104"/>
        <v>0</v>
      </c>
      <c r="BM117" s="141"/>
      <c r="BN117" s="99"/>
      <c r="BO117" s="420">
        <f>SUM(BO109:BO116)</f>
        <v>0</v>
      </c>
      <c r="BP117" s="421" t="str">
        <f>IF(ISERROR(BO117/BO153),"",BO117/BO153)</f>
        <v/>
      </c>
      <c r="BQ117" s="419">
        <f>SUM(BQ109:BQ116)</f>
        <v>0</v>
      </c>
      <c r="BR117" s="418" t="str">
        <f>IF(ISERROR(BQ117/BQ153),"",BQ117/BQ153)</f>
        <v/>
      </c>
      <c r="BS117" s="419">
        <f t="shared" si="118"/>
        <v>0</v>
      </c>
      <c r="BT117" s="141"/>
      <c r="BU117" s="420">
        <f>SUM(BU109:BU116)</f>
        <v>0</v>
      </c>
      <c r="BV117" s="421" t="str">
        <f>IF(ISERROR(BU117/BU153),"",BU117/BU153)</f>
        <v/>
      </c>
      <c r="BW117" s="419">
        <f>SUM(BW109:BW116)</f>
        <v>0</v>
      </c>
      <c r="BX117" s="418" t="str">
        <f>IF(ISERROR(BW117/BW153),"",BW117/BW153)</f>
        <v/>
      </c>
      <c r="BY117" s="419">
        <f t="shared" si="119"/>
        <v>0</v>
      </c>
      <c r="BZ117" s="141"/>
      <c r="CA117" s="420">
        <f>SUM(CA109:CA116)</f>
        <v>0</v>
      </c>
      <c r="CB117" s="421" t="str">
        <f>IF(ISERROR(CA117/CA153),"",CA117/CA153)</f>
        <v/>
      </c>
      <c r="CC117" s="419">
        <f>SUM(CC109:CC116)</f>
        <v>0</v>
      </c>
      <c r="CD117" s="418" t="str">
        <f>IF(ISERROR(CC117/CC153),"",CC117/CC153)</f>
        <v/>
      </c>
      <c r="CE117" s="419">
        <f t="shared" si="120"/>
        <v>0</v>
      </c>
      <c r="CF117" s="141"/>
      <c r="CG117" s="264">
        <f t="shared" si="129"/>
        <v>0</v>
      </c>
      <c r="CH117" s="307" t="str">
        <f>IF(ISERROR(CG117/CG153),"",CG117/CG153)</f>
        <v/>
      </c>
      <c r="CI117" s="265">
        <f t="shared" si="130"/>
        <v>0</v>
      </c>
      <c r="CJ117" s="307" t="str">
        <f>IF(ISERROR(CI117/CI153),"",CI117/CI153)</f>
        <v/>
      </c>
      <c r="CK117" s="265">
        <f t="shared" si="108"/>
        <v>0</v>
      </c>
      <c r="CL117" s="141"/>
      <c r="CM117" s="100"/>
      <c r="CN117" s="420">
        <f>SUM(CN109:CN116)</f>
        <v>0</v>
      </c>
      <c r="CO117" s="421" t="str">
        <f>IF(ISERROR(CN117/CN153),"",CN117/CN153)</f>
        <v/>
      </c>
      <c r="CP117" s="419">
        <f>SUM(CP109:CP116)</f>
        <v>0</v>
      </c>
      <c r="CQ117" s="418" t="str">
        <f>IF(ISERROR(CP117/CP153),"",CP117/CP153)</f>
        <v/>
      </c>
      <c r="CR117" s="419">
        <f t="shared" si="121"/>
        <v>0</v>
      </c>
      <c r="CS117" s="141"/>
      <c r="CT117" s="420">
        <f>SUM(CT109:CT116)</f>
        <v>0</v>
      </c>
      <c r="CU117" s="421" t="str">
        <f>IF(ISERROR(CT117/CT153),"",CT117/CT153)</f>
        <v/>
      </c>
      <c r="CV117" s="419">
        <f>SUM(CV109:CV116)</f>
        <v>0</v>
      </c>
      <c r="CW117" s="418" t="str">
        <f>IF(ISERROR(CV117/CV153),"",CV117/CV153)</f>
        <v/>
      </c>
      <c r="CX117" s="419">
        <f t="shared" si="122"/>
        <v>0</v>
      </c>
      <c r="CY117" s="141"/>
      <c r="CZ117" s="420">
        <f>SUM(CZ109:CZ116)</f>
        <v>0</v>
      </c>
      <c r="DA117" s="421" t="str">
        <f>IF(ISERROR(CZ117/CZ153),"",CZ117/CZ153)</f>
        <v/>
      </c>
      <c r="DB117" s="419">
        <f>SUM(DB109:DB116)</f>
        <v>0</v>
      </c>
      <c r="DC117" s="418" t="str">
        <f>IF(ISERROR(DB117/DB153),"",DB117/DB153)</f>
        <v/>
      </c>
      <c r="DD117" s="419">
        <f t="shared" si="123"/>
        <v>0</v>
      </c>
      <c r="DE117" s="141"/>
      <c r="DF117" s="264">
        <f t="shared" si="131"/>
        <v>0</v>
      </c>
      <c r="DG117" s="307" t="str">
        <f>IF(ISERROR(DF117/DF153),"",DF117/DF153)</f>
        <v/>
      </c>
      <c r="DH117" s="265">
        <f t="shared" si="132"/>
        <v>0</v>
      </c>
      <c r="DI117" s="307" t="str">
        <f>IF(ISERROR(DH117/DH153),"",DH117/DH153)</f>
        <v/>
      </c>
      <c r="DJ117" s="265">
        <f t="shared" si="112"/>
        <v>0</v>
      </c>
      <c r="DK117" s="25"/>
    </row>
    <row r="118" spans="1:115" s="3" customFormat="1" ht="21.75" customHeight="1" thickBot="1" x14ac:dyDescent="0.3">
      <c r="A118" s="80">
        <v>109</v>
      </c>
      <c r="B118" s="619"/>
      <c r="C118" s="628" t="s">
        <v>116</v>
      </c>
      <c r="D118" s="629"/>
      <c r="E118" s="629"/>
      <c r="F118" s="629"/>
      <c r="G118" s="629"/>
      <c r="H118" s="629"/>
      <c r="I118" s="630"/>
      <c r="J118" s="266">
        <f t="shared" si="93"/>
        <v>0</v>
      </c>
      <c r="K118" s="308" t="str">
        <f>IF(ISERROR(J118/J153),"",J118/J153)</f>
        <v/>
      </c>
      <c r="L118" s="267">
        <f t="shared" si="94"/>
        <v>0</v>
      </c>
      <c r="M118" s="308" t="str">
        <f>IF(ISERROR(L118/L153),"",L118/L153)</f>
        <v/>
      </c>
      <c r="N118" s="225">
        <f t="shared" si="124"/>
        <v>0</v>
      </c>
      <c r="O118" s="64" t="e">
        <f t="shared" si="95"/>
        <v>#VALUE!</v>
      </c>
      <c r="P118" s="47"/>
      <c r="Q118" s="422">
        <f>SUM(Q102,Q108,Q117)</f>
        <v>0</v>
      </c>
      <c r="R118" s="421" t="str">
        <f>IF(ISERROR(Q118/Q153),"",Q118/Q153)</f>
        <v/>
      </c>
      <c r="S118" s="423">
        <f>SUM(S102,S108,S117)</f>
        <v>0</v>
      </c>
      <c r="T118" s="421" t="str">
        <f>IF(ISERROR(S118/S153),"",S118/S153)</f>
        <v/>
      </c>
      <c r="U118" s="423">
        <f t="shared" si="96"/>
        <v>0</v>
      </c>
      <c r="V118" s="143"/>
      <c r="W118" s="422">
        <f>SUM(W102,W108,W117)</f>
        <v>0</v>
      </c>
      <c r="X118" s="421" t="str">
        <f>IF(ISERROR(W118/W153),"",W118/W153)</f>
        <v/>
      </c>
      <c r="Y118" s="423">
        <f>SUM(Y102,Y108,Y117)</f>
        <v>0</v>
      </c>
      <c r="Z118" s="421" t="str">
        <f>IF(ISERROR(Y118/Y153),"",Y118/Y153)</f>
        <v/>
      </c>
      <c r="AA118" s="423">
        <f t="shared" si="113"/>
        <v>0</v>
      </c>
      <c r="AB118" s="143"/>
      <c r="AC118" s="422">
        <f>SUM(AC102,AC108,AC117)</f>
        <v>0</v>
      </c>
      <c r="AD118" s="421" t="str">
        <f>IF(ISERROR(AC118/AC153),"",AC118/AC153)</f>
        <v/>
      </c>
      <c r="AE118" s="423">
        <f>SUM(AE102,AE108,AE117)</f>
        <v>0</v>
      </c>
      <c r="AF118" s="421" t="str">
        <f>IF(ISERROR(AE118/AE153),"",AE118/AE153)</f>
        <v/>
      </c>
      <c r="AG118" s="423">
        <f t="shared" si="114"/>
        <v>0</v>
      </c>
      <c r="AH118" s="142" t="e">
        <f t="shared" si="99"/>
        <v>#VALUE!</v>
      </c>
      <c r="AI118" s="266">
        <f t="shared" si="125"/>
        <v>0</v>
      </c>
      <c r="AJ118" s="308" t="str">
        <f>IF(ISERROR(AI118/AI153),"",AI118/AI153)</f>
        <v/>
      </c>
      <c r="AK118" s="267">
        <f t="shared" si="126"/>
        <v>0</v>
      </c>
      <c r="AL118" s="308" t="str">
        <f>IF(ISERROR(AK118/AK153),"",AK118/AK153)</f>
        <v/>
      </c>
      <c r="AM118" s="267">
        <f t="shared" si="100"/>
        <v>0</v>
      </c>
      <c r="AN118" s="143"/>
      <c r="AO118" s="99"/>
      <c r="AP118" s="422">
        <f>SUM(AP102,AP108,AP117)</f>
        <v>0</v>
      </c>
      <c r="AQ118" s="421" t="str">
        <f>IF(ISERROR(AP118/AP153),"",AP118/AP153)</f>
        <v/>
      </c>
      <c r="AR118" s="423">
        <f>SUM(AR102,AR108,AR117)</f>
        <v>0</v>
      </c>
      <c r="AS118" s="421" t="str">
        <f>IF(ISERROR(AR118/AR153),"",AR118/AR153)</f>
        <v/>
      </c>
      <c r="AT118" s="423">
        <f t="shared" si="115"/>
        <v>0</v>
      </c>
      <c r="AU118" s="143"/>
      <c r="AV118" s="422">
        <f>SUM(AV102,AV108,AV117)</f>
        <v>0</v>
      </c>
      <c r="AW118" s="421" t="str">
        <f>IF(ISERROR(AV118/AV153),"",AV118/AV153)</f>
        <v/>
      </c>
      <c r="AX118" s="423">
        <f>SUM(AX102,AX108,AX117)</f>
        <v>0</v>
      </c>
      <c r="AY118" s="421" t="str">
        <f>IF(ISERROR(AX118/AX153),"",AX118/AX153)</f>
        <v/>
      </c>
      <c r="AZ118" s="423">
        <f t="shared" si="116"/>
        <v>0</v>
      </c>
      <c r="BA118" s="143"/>
      <c r="BB118" s="422">
        <f>SUM(BB102,BB108,BB117)</f>
        <v>0</v>
      </c>
      <c r="BC118" s="421" t="str">
        <f>IF(ISERROR(BB118/BB153),"",BB118/BB153)</f>
        <v/>
      </c>
      <c r="BD118" s="423">
        <f>SUM(BD102,BD108,BD117)</f>
        <v>0</v>
      </c>
      <c r="BE118" s="421" t="str">
        <f>IF(ISERROR(BD118/BD153),"",BD118/BD153)</f>
        <v/>
      </c>
      <c r="BF118" s="423">
        <f t="shared" si="117"/>
        <v>0</v>
      </c>
      <c r="BG118" s="143"/>
      <c r="BH118" s="266">
        <f t="shared" si="127"/>
        <v>0</v>
      </c>
      <c r="BI118" s="308" t="str">
        <f>IF(ISERROR(BH118/BH153),"",BH118/BH153)</f>
        <v/>
      </c>
      <c r="BJ118" s="267">
        <f t="shared" si="128"/>
        <v>0</v>
      </c>
      <c r="BK118" s="308" t="str">
        <f>IF(ISERROR(BJ118/BJ153),"",BJ118/BJ153)</f>
        <v/>
      </c>
      <c r="BL118" s="267">
        <f t="shared" si="104"/>
        <v>0</v>
      </c>
      <c r="BM118" s="143"/>
      <c r="BN118" s="99"/>
      <c r="BO118" s="422">
        <f>SUM(BO102,BO108,BO117)</f>
        <v>0</v>
      </c>
      <c r="BP118" s="421" t="str">
        <f>IF(ISERROR(BO118/BO153),"",BO118/BO153)</f>
        <v/>
      </c>
      <c r="BQ118" s="423">
        <f>SUM(BQ102,BQ108,BQ117)</f>
        <v>0</v>
      </c>
      <c r="BR118" s="421" t="str">
        <f>IF(ISERROR(BQ118/BQ153),"",BQ118/BQ153)</f>
        <v/>
      </c>
      <c r="BS118" s="423">
        <f t="shared" si="118"/>
        <v>0</v>
      </c>
      <c r="BT118" s="143"/>
      <c r="BU118" s="422">
        <f>SUM(BU102,BU108,BU117)</f>
        <v>0</v>
      </c>
      <c r="BV118" s="421" t="str">
        <f>IF(ISERROR(BU118/BU153),"",BU118/BU153)</f>
        <v/>
      </c>
      <c r="BW118" s="423">
        <f>SUM(BW102,BW108,BW117)</f>
        <v>0</v>
      </c>
      <c r="BX118" s="421" t="str">
        <f>IF(ISERROR(BW118/BW153),"",BW118/BW153)</f>
        <v/>
      </c>
      <c r="BY118" s="423">
        <f t="shared" si="119"/>
        <v>0</v>
      </c>
      <c r="BZ118" s="143"/>
      <c r="CA118" s="422">
        <f>SUM(CA102,CA108,CA117)</f>
        <v>0</v>
      </c>
      <c r="CB118" s="421" t="str">
        <f>IF(ISERROR(CA118/CA153),"",CA118/CA153)</f>
        <v/>
      </c>
      <c r="CC118" s="423">
        <f>SUM(CC102,CC108,CC117)</f>
        <v>0</v>
      </c>
      <c r="CD118" s="421" t="str">
        <f>IF(ISERROR(CC118/CC153),"",CC118/CC153)</f>
        <v/>
      </c>
      <c r="CE118" s="423">
        <f t="shared" si="120"/>
        <v>0</v>
      </c>
      <c r="CF118" s="143"/>
      <c r="CG118" s="266">
        <f t="shared" si="129"/>
        <v>0</v>
      </c>
      <c r="CH118" s="308" t="str">
        <f>IF(ISERROR(CG118/CG153),"",CG118/CG153)</f>
        <v/>
      </c>
      <c r="CI118" s="267">
        <f t="shared" si="130"/>
        <v>0</v>
      </c>
      <c r="CJ118" s="308" t="str">
        <f>IF(ISERROR(CI118/CI153),"",CI118/CI153)</f>
        <v/>
      </c>
      <c r="CK118" s="267">
        <f t="shared" si="108"/>
        <v>0</v>
      </c>
      <c r="CL118" s="143"/>
      <c r="CM118" s="100"/>
      <c r="CN118" s="422">
        <f>SUM(CN102,CN108,CN117)</f>
        <v>0</v>
      </c>
      <c r="CO118" s="421" t="str">
        <f>IF(ISERROR(CN118/CN153),"",CN118/CN153)</f>
        <v/>
      </c>
      <c r="CP118" s="423">
        <f>SUM(CP102,CP108,CP117)</f>
        <v>0</v>
      </c>
      <c r="CQ118" s="421" t="str">
        <f>IF(ISERROR(CP118/CP153),"",CP118/CP153)</f>
        <v/>
      </c>
      <c r="CR118" s="423">
        <f t="shared" si="121"/>
        <v>0</v>
      </c>
      <c r="CS118" s="143"/>
      <c r="CT118" s="422">
        <f>SUM(CT102,CT108,CT117)</f>
        <v>0</v>
      </c>
      <c r="CU118" s="421" t="str">
        <f>IF(ISERROR(CT118/CT153),"",CT118/CT153)</f>
        <v/>
      </c>
      <c r="CV118" s="423">
        <f>SUM(CV102,CV108,CV117)</f>
        <v>0</v>
      </c>
      <c r="CW118" s="421" t="str">
        <f>IF(ISERROR(CV118/CV153),"",CV118/CV153)</f>
        <v/>
      </c>
      <c r="CX118" s="423">
        <f t="shared" si="122"/>
        <v>0</v>
      </c>
      <c r="CY118" s="143"/>
      <c r="CZ118" s="422">
        <f>SUM(CZ102,CZ108,CZ117)</f>
        <v>0</v>
      </c>
      <c r="DA118" s="421" t="str">
        <f>IF(ISERROR(CZ118/CZ153),"",CZ118/CZ153)</f>
        <v/>
      </c>
      <c r="DB118" s="423">
        <f>SUM(DB102,DB108,DB117)</f>
        <v>0</v>
      </c>
      <c r="DC118" s="421" t="str">
        <f>IF(ISERROR(DB118/DB153),"",DB118/DB153)</f>
        <v/>
      </c>
      <c r="DD118" s="423">
        <f t="shared" si="123"/>
        <v>0</v>
      </c>
      <c r="DE118" s="143"/>
      <c r="DF118" s="266">
        <f t="shared" si="131"/>
        <v>0</v>
      </c>
      <c r="DG118" s="308" t="str">
        <f>IF(ISERROR(DF118/DF153),"",DF118/DF153)</f>
        <v/>
      </c>
      <c r="DH118" s="267">
        <f t="shared" si="132"/>
        <v>0</v>
      </c>
      <c r="DI118" s="308" t="str">
        <f>IF(ISERROR(DH118/DH153),"",DH118/DH153)</f>
        <v/>
      </c>
      <c r="DJ118" s="267">
        <f t="shared" si="112"/>
        <v>0</v>
      </c>
      <c r="DK118" s="26"/>
    </row>
    <row r="119" spans="1:115" s="3" customFormat="1" ht="21.75" customHeight="1" thickBot="1" x14ac:dyDescent="0.3">
      <c r="A119" s="80">
        <v>110</v>
      </c>
      <c r="B119" s="567" t="s">
        <v>117</v>
      </c>
      <c r="C119" s="568"/>
      <c r="D119" s="568"/>
      <c r="E119" s="568"/>
      <c r="F119" s="568"/>
      <c r="G119" s="568"/>
      <c r="H119" s="568"/>
      <c r="I119" s="569"/>
      <c r="J119" s="268">
        <f t="shared" si="93"/>
        <v>0</v>
      </c>
      <c r="K119" s="284" t="str">
        <f>IF(ISERROR(J119/J153),"",J119/J153)</f>
        <v/>
      </c>
      <c r="L119" s="269">
        <f t="shared" si="94"/>
        <v>0</v>
      </c>
      <c r="M119" s="284" t="str">
        <f>IF(ISERROR(L119/L153),"",L119/L153)</f>
        <v/>
      </c>
      <c r="N119" s="226">
        <f t="shared" si="124"/>
        <v>0</v>
      </c>
      <c r="O119" s="65" t="e">
        <f t="shared" si="95"/>
        <v>#VALUE!</v>
      </c>
      <c r="P119" s="47"/>
      <c r="Q119" s="412">
        <f>Q96-Q118</f>
        <v>0</v>
      </c>
      <c r="R119" s="424" t="str">
        <f>IF(ISERROR(Q119/Q153),"",Q119/Q153)</f>
        <v/>
      </c>
      <c r="S119" s="425">
        <f>S96-S118</f>
        <v>0</v>
      </c>
      <c r="T119" s="424" t="str">
        <f>IF(ISERROR(S119/S153),"",S119/S153)</f>
        <v/>
      </c>
      <c r="U119" s="425">
        <f t="shared" si="96"/>
        <v>0</v>
      </c>
      <c r="V119" s="145"/>
      <c r="W119" s="412">
        <f>W96-W118</f>
        <v>0</v>
      </c>
      <c r="X119" s="424" t="str">
        <f>IF(ISERROR(W119/W153),"",W119/W153)</f>
        <v/>
      </c>
      <c r="Y119" s="425">
        <f>Y96-Y118</f>
        <v>0</v>
      </c>
      <c r="Z119" s="424" t="str">
        <f>IF(ISERROR(Y119/Y153),"",Y119/Y153)</f>
        <v/>
      </c>
      <c r="AA119" s="425">
        <f t="shared" si="113"/>
        <v>0</v>
      </c>
      <c r="AB119" s="145"/>
      <c r="AC119" s="412">
        <f>AC96-AC118</f>
        <v>0</v>
      </c>
      <c r="AD119" s="424" t="str">
        <f>IF(ISERROR(AC119/AC153),"",AC119/AC153)</f>
        <v/>
      </c>
      <c r="AE119" s="425">
        <f>AE96-AE118</f>
        <v>0</v>
      </c>
      <c r="AF119" s="424" t="str">
        <f>IF(ISERROR(AE119/AE153),"",AE119/AE153)</f>
        <v/>
      </c>
      <c r="AG119" s="425">
        <f t="shared" si="114"/>
        <v>0</v>
      </c>
      <c r="AH119" s="144" t="e">
        <f t="shared" si="99"/>
        <v>#VALUE!</v>
      </c>
      <c r="AI119" s="268">
        <f t="shared" si="125"/>
        <v>0</v>
      </c>
      <c r="AJ119" s="284" t="str">
        <f>IF(ISERROR(AI119/AI153),"",AI119/AI153)</f>
        <v/>
      </c>
      <c r="AK119" s="269">
        <f t="shared" si="126"/>
        <v>0</v>
      </c>
      <c r="AL119" s="284" t="str">
        <f>IF(ISERROR(AK119/AK153),"",AK119/AK153)</f>
        <v/>
      </c>
      <c r="AM119" s="269">
        <f t="shared" si="100"/>
        <v>0</v>
      </c>
      <c r="AN119" s="145"/>
      <c r="AO119" s="99"/>
      <c r="AP119" s="412">
        <f>AP96-AP118</f>
        <v>0</v>
      </c>
      <c r="AQ119" s="424" t="str">
        <f>IF(ISERROR(AP119/AP153),"",AP119/AP153)</f>
        <v/>
      </c>
      <c r="AR119" s="425">
        <f>AR96-AR118</f>
        <v>0</v>
      </c>
      <c r="AS119" s="424" t="str">
        <f>IF(ISERROR(AR119/AR153),"",AR119/AR153)</f>
        <v/>
      </c>
      <c r="AT119" s="425">
        <f t="shared" si="115"/>
        <v>0</v>
      </c>
      <c r="AU119" s="145"/>
      <c r="AV119" s="412">
        <f>AV96-AV118</f>
        <v>0</v>
      </c>
      <c r="AW119" s="424" t="str">
        <f>IF(ISERROR(AV119/AV153),"",AV119/AV153)</f>
        <v/>
      </c>
      <c r="AX119" s="425">
        <f>AX96-AX118</f>
        <v>0</v>
      </c>
      <c r="AY119" s="424" t="str">
        <f>IF(ISERROR(AX119/AX153),"",AX119/AX153)</f>
        <v/>
      </c>
      <c r="AZ119" s="425">
        <f t="shared" si="116"/>
        <v>0</v>
      </c>
      <c r="BA119" s="145"/>
      <c r="BB119" s="412">
        <f>BB96-BB118</f>
        <v>0</v>
      </c>
      <c r="BC119" s="424" t="str">
        <f>IF(ISERROR(BB119/BB153),"",BB119/BB153)</f>
        <v/>
      </c>
      <c r="BD119" s="425">
        <f>BD96-BD118</f>
        <v>0</v>
      </c>
      <c r="BE119" s="424" t="str">
        <f>IF(ISERROR(BD119/BD153),"",BD119/BD153)</f>
        <v/>
      </c>
      <c r="BF119" s="425">
        <f t="shared" si="117"/>
        <v>0</v>
      </c>
      <c r="BG119" s="145"/>
      <c r="BH119" s="268">
        <f t="shared" si="127"/>
        <v>0</v>
      </c>
      <c r="BI119" s="284" t="str">
        <f>IF(ISERROR(BH119/BH153),"",BH119/BH153)</f>
        <v/>
      </c>
      <c r="BJ119" s="269">
        <f t="shared" si="128"/>
        <v>0</v>
      </c>
      <c r="BK119" s="284" t="str">
        <f>IF(ISERROR(BJ119/BJ153),"",BJ119/BJ153)</f>
        <v/>
      </c>
      <c r="BL119" s="269">
        <f t="shared" si="104"/>
        <v>0</v>
      </c>
      <c r="BM119" s="145"/>
      <c r="BN119" s="99"/>
      <c r="BO119" s="412">
        <f>BO96-BO118</f>
        <v>0</v>
      </c>
      <c r="BP119" s="424" t="str">
        <f>IF(ISERROR(BO119/BO153),"",BO119/BO153)</f>
        <v/>
      </c>
      <c r="BQ119" s="425">
        <f>BQ96-BQ118</f>
        <v>0</v>
      </c>
      <c r="BR119" s="424" t="str">
        <f>IF(ISERROR(BQ119/BQ153),"",BQ119/BQ153)</f>
        <v/>
      </c>
      <c r="BS119" s="425">
        <f t="shared" si="118"/>
        <v>0</v>
      </c>
      <c r="BT119" s="145"/>
      <c r="BU119" s="412">
        <f>BU96-BU118</f>
        <v>0</v>
      </c>
      <c r="BV119" s="424" t="str">
        <f>IF(ISERROR(BU119/BU153),"",BU119/BU153)</f>
        <v/>
      </c>
      <c r="BW119" s="425">
        <f>BW96-BW118</f>
        <v>0</v>
      </c>
      <c r="BX119" s="424" t="str">
        <f>IF(ISERROR(BW119/BW153),"",BW119/BW153)</f>
        <v/>
      </c>
      <c r="BY119" s="425">
        <f t="shared" si="119"/>
        <v>0</v>
      </c>
      <c r="BZ119" s="145"/>
      <c r="CA119" s="412">
        <f>CA96-CA118</f>
        <v>0</v>
      </c>
      <c r="CB119" s="424" t="str">
        <f>IF(ISERROR(CA119/CA153),"",CA119/CA153)</f>
        <v/>
      </c>
      <c r="CC119" s="425">
        <f>CC96-CC118</f>
        <v>0</v>
      </c>
      <c r="CD119" s="424" t="str">
        <f>IF(ISERROR(CC119/CC153),"",CC119/CC153)</f>
        <v/>
      </c>
      <c r="CE119" s="425">
        <f t="shared" si="120"/>
        <v>0</v>
      </c>
      <c r="CF119" s="145"/>
      <c r="CG119" s="268">
        <f t="shared" si="129"/>
        <v>0</v>
      </c>
      <c r="CH119" s="284" t="str">
        <f>IF(ISERROR(CG119/CG153),"",CG119/CG153)</f>
        <v/>
      </c>
      <c r="CI119" s="269">
        <f t="shared" si="130"/>
        <v>0</v>
      </c>
      <c r="CJ119" s="284" t="str">
        <f>IF(ISERROR(CI119/CI153),"",CI119/CI153)</f>
        <v/>
      </c>
      <c r="CK119" s="269">
        <f t="shared" si="108"/>
        <v>0</v>
      </c>
      <c r="CL119" s="145"/>
      <c r="CM119" s="100"/>
      <c r="CN119" s="412">
        <f>CN96-CN118</f>
        <v>0</v>
      </c>
      <c r="CO119" s="424" t="str">
        <f>IF(ISERROR(CN119/CN153),"",CN119/CN153)</f>
        <v/>
      </c>
      <c r="CP119" s="425">
        <f>CP96-CP118</f>
        <v>0</v>
      </c>
      <c r="CQ119" s="424" t="str">
        <f>IF(ISERROR(CP119/CP153),"",CP119/CP153)</f>
        <v/>
      </c>
      <c r="CR119" s="425">
        <f t="shared" si="121"/>
        <v>0</v>
      </c>
      <c r="CS119" s="145"/>
      <c r="CT119" s="412">
        <f>CT96-CT118</f>
        <v>0</v>
      </c>
      <c r="CU119" s="424" t="str">
        <f>IF(ISERROR(CT119/CT153),"",CT119/CT153)</f>
        <v/>
      </c>
      <c r="CV119" s="425">
        <f>CV96-CV118</f>
        <v>0</v>
      </c>
      <c r="CW119" s="424" t="str">
        <f>IF(ISERROR(CV119/CV153),"",CV119/CV153)</f>
        <v/>
      </c>
      <c r="CX119" s="425">
        <f t="shared" si="122"/>
        <v>0</v>
      </c>
      <c r="CY119" s="145"/>
      <c r="CZ119" s="412">
        <f>CZ96-CZ118</f>
        <v>0</v>
      </c>
      <c r="DA119" s="424" t="str">
        <f>IF(ISERROR(CZ119/CZ153),"",CZ119/CZ153)</f>
        <v/>
      </c>
      <c r="DB119" s="425">
        <f>DB96-DB118</f>
        <v>0</v>
      </c>
      <c r="DC119" s="424" t="str">
        <f>IF(ISERROR(DB119/DB153),"",DB119/DB153)</f>
        <v/>
      </c>
      <c r="DD119" s="425">
        <f t="shared" si="123"/>
        <v>0</v>
      </c>
      <c r="DE119" s="145"/>
      <c r="DF119" s="268">
        <f t="shared" si="131"/>
        <v>0</v>
      </c>
      <c r="DG119" s="284" t="str">
        <f>IF(ISERROR(DF119/DF153),"",DF119/DF153)</f>
        <v/>
      </c>
      <c r="DH119" s="269">
        <f t="shared" si="132"/>
        <v>0</v>
      </c>
      <c r="DI119" s="284" t="str">
        <f>IF(ISERROR(DH119/DH153),"",DH119/DH153)</f>
        <v/>
      </c>
      <c r="DJ119" s="269">
        <f t="shared" si="112"/>
        <v>0</v>
      </c>
      <c r="DK119" s="27"/>
    </row>
    <row r="120" spans="1:115" s="3" customFormat="1" ht="21.75" customHeight="1" outlineLevel="1" thickTop="1" x14ac:dyDescent="0.25">
      <c r="A120" s="80">
        <v>111</v>
      </c>
      <c r="B120" s="570" t="s">
        <v>118</v>
      </c>
      <c r="C120" s="573" t="s">
        <v>119</v>
      </c>
      <c r="D120" s="574"/>
      <c r="E120" s="574"/>
      <c r="F120" s="574"/>
      <c r="G120" s="574"/>
      <c r="H120" s="574"/>
      <c r="I120" s="575"/>
      <c r="J120" s="228">
        <f t="shared" si="93"/>
        <v>0</v>
      </c>
      <c r="K120" s="295"/>
      <c r="L120" s="229">
        <f t="shared" si="94"/>
        <v>0</v>
      </c>
      <c r="M120" s="295"/>
      <c r="N120" s="206">
        <f t="shared" si="124"/>
        <v>0</v>
      </c>
      <c r="O120" s="43">
        <f t="shared" si="95"/>
        <v>0</v>
      </c>
      <c r="P120" s="47"/>
      <c r="Q120" s="327"/>
      <c r="R120" s="354"/>
      <c r="S120" s="355"/>
      <c r="T120" s="356"/>
      <c r="U120" s="355">
        <f t="shared" si="96"/>
        <v>0</v>
      </c>
      <c r="V120" s="96"/>
      <c r="W120" s="327"/>
      <c r="X120" s="354"/>
      <c r="Y120" s="355"/>
      <c r="Z120" s="356"/>
      <c r="AA120" s="355">
        <f t="shared" si="113"/>
        <v>0</v>
      </c>
      <c r="AB120" s="96"/>
      <c r="AC120" s="327"/>
      <c r="AD120" s="354"/>
      <c r="AE120" s="355"/>
      <c r="AF120" s="356"/>
      <c r="AG120" s="355">
        <f t="shared" si="114"/>
        <v>0</v>
      </c>
      <c r="AH120" s="97">
        <f t="shared" si="99"/>
        <v>0</v>
      </c>
      <c r="AI120" s="285">
        <f t="shared" si="125"/>
        <v>0</v>
      </c>
      <c r="AJ120" s="295"/>
      <c r="AK120" s="229">
        <f t="shared" si="126"/>
        <v>0</v>
      </c>
      <c r="AL120" s="295"/>
      <c r="AM120" s="229">
        <f t="shared" si="100"/>
        <v>0</v>
      </c>
      <c r="AN120" s="96"/>
      <c r="AO120" s="99"/>
      <c r="AP120" s="327"/>
      <c r="AQ120" s="354"/>
      <c r="AR120" s="355"/>
      <c r="AS120" s="356"/>
      <c r="AT120" s="355">
        <f t="shared" si="115"/>
        <v>0</v>
      </c>
      <c r="AU120" s="96"/>
      <c r="AV120" s="327"/>
      <c r="AW120" s="354"/>
      <c r="AX120" s="355"/>
      <c r="AY120" s="356"/>
      <c r="AZ120" s="355">
        <f t="shared" si="116"/>
        <v>0</v>
      </c>
      <c r="BA120" s="96"/>
      <c r="BB120" s="327"/>
      <c r="BC120" s="354"/>
      <c r="BD120" s="355"/>
      <c r="BE120" s="356"/>
      <c r="BF120" s="355">
        <f t="shared" si="117"/>
        <v>0</v>
      </c>
      <c r="BG120" s="96"/>
      <c r="BH120" s="285">
        <f t="shared" si="127"/>
        <v>0</v>
      </c>
      <c r="BI120" s="295"/>
      <c r="BJ120" s="229">
        <f t="shared" si="128"/>
        <v>0</v>
      </c>
      <c r="BK120" s="295"/>
      <c r="BL120" s="229">
        <f t="shared" si="104"/>
        <v>0</v>
      </c>
      <c r="BM120" s="96"/>
      <c r="BN120" s="99"/>
      <c r="BO120" s="327"/>
      <c r="BP120" s="354"/>
      <c r="BQ120" s="355"/>
      <c r="BR120" s="356"/>
      <c r="BS120" s="355">
        <f t="shared" si="118"/>
        <v>0</v>
      </c>
      <c r="BT120" s="96"/>
      <c r="BU120" s="327"/>
      <c r="BV120" s="354"/>
      <c r="BW120" s="355"/>
      <c r="BX120" s="356"/>
      <c r="BY120" s="355">
        <f t="shared" si="119"/>
        <v>0</v>
      </c>
      <c r="BZ120" s="96"/>
      <c r="CA120" s="327"/>
      <c r="CB120" s="354"/>
      <c r="CC120" s="355"/>
      <c r="CD120" s="356"/>
      <c r="CE120" s="355">
        <f t="shared" si="120"/>
        <v>0</v>
      </c>
      <c r="CF120" s="96"/>
      <c r="CG120" s="285">
        <f t="shared" si="129"/>
        <v>0</v>
      </c>
      <c r="CH120" s="295"/>
      <c r="CI120" s="229">
        <f t="shared" si="130"/>
        <v>0</v>
      </c>
      <c r="CJ120" s="295"/>
      <c r="CK120" s="229">
        <f t="shared" si="108"/>
        <v>0</v>
      </c>
      <c r="CL120" s="96"/>
      <c r="CM120" s="100"/>
      <c r="CN120" s="327"/>
      <c r="CO120" s="354"/>
      <c r="CP120" s="355"/>
      <c r="CQ120" s="356"/>
      <c r="CR120" s="355">
        <f t="shared" si="121"/>
        <v>0</v>
      </c>
      <c r="CS120" s="96"/>
      <c r="CT120" s="327"/>
      <c r="CU120" s="354"/>
      <c r="CV120" s="355"/>
      <c r="CW120" s="356"/>
      <c r="CX120" s="355">
        <f t="shared" si="122"/>
        <v>0</v>
      </c>
      <c r="CY120" s="96"/>
      <c r="CZ120" s="327"/>
      <c r="DA120" s="354"/>
      <c r="DB120" s="355"/>
      <c r="DC120" s="356"/>
      <c r="DD120" s="355">
        <f t="shared" si="123"/>
        <v>0</v>
      </c>
      <c r="DE120" s="96"/>
      <c r="DF120" s="285">
        <f t="shared" si="131"/>
        <v>0</v>
      </c>
      <c r="DG120" s="295"/>
      <c r="DH120" s="229">
        <f t="shared" si="132"/>
        <v>0</v>
      </c>
      <c r="DI120" s="295"/>
      <c r="DJ120" s="229">
        <f t="shared" si="112"/>
        <v>0</v>
      </c>
      <c r="DK120" s="7"/>
    </row>
    <row r="121" spans="1:115" s="3" customFormat="1" ht="21.75" customHeight="1" outlineLevel="1" thickBot="1" x14ac:dyDescent="0.3">
      <c r="A121" s="80">
        <v>112</v>
      </c>
      <c r="B121" s="571"/>
      <c r="C121" s="576" t="s">
        <v>120</v>
      </c>
      <c r="D121" s="577"/>
      <c r="E121" s="577"/>
      <c r="F121" s="577"/>
      <c r="G121" s="577"/>
      <c r="H121" s="577"/>
      <c r="I121" s="578"/>
      <c r="J121" s="230">
        <f t="shared" si="93"/>
        <v>0</v>
      </c>
      <c r="K121" s="296"/>
      <c r="L121" s="231">
        <f t="shared" si="94"/>
        <v>0</v>
      </c>
      <c r="M121" s="296"/>
      <c r="N121" s="207">
        <f t="shared" si="124"/>
        <v>0</v>
      </c>
      <c r="O121" s="45">
        <f t="shared" si="95"/>
        <v>0</v>
      </c>
      <c r="P121" s="47"/>
      <c r="Q121" s="328"/>
      <c r="R121" s="357"/>
      <c r="S121" s="358"/>
      <c r="T121" s="359"/>
      <c r="U121" s="358">
        <f t="shared" si="96"/>
        <v>0</v>
      </c>
      <c r="V121" s="102"/>
      <c r="W121" s="328"/>
      <c r="X121" s="357"/>
      <c r="Y121" s="358"/>
      <c r="Z121" s="359"/>
      <c r="AA121" s="358">
        <f t="shared" si="113"/>
        <v>0</v>
      </c>
      <c r="AB121" s="102"/>
      <c r="AC121" s="328"/>
      <c r="AD121" s="357"/>
      <c r="AE121" s="358"/>
      <c r="AF121" s="359"/>
      <c r="AG121" s="358">
        <f t="shared" si="114"/>
        <v>0</v>
      </c>
      <c r="AH121" s="103">
        <f t="shared" si="99"/>
        <v>0</v>
      </c>
      <c r="AI121" s="286">
        <f t="shared" si="125"/>
        <v>0</v>
      </c>
      <c r="AJ121" s="296"/>
      <c r="AK121" s="231">
        <f t="shared" si="126"/>
        <v>0</v>
      </c>
      <c r="AL121" s="296"/>
      <c r="AM121" s="231">
        <f t="shared" si="100"/>
        <v>0</v>
      </c>
      <c r="AN121" s="102"/>
      <c r="AO121" s="99"/>
      <c r="AP121" s="328"/>
      <c r="AQ121" s="357"/>
      <c r="AR121" s="358"/>
      <c r="AS121" s="359"/>
      <c r="AT121" s="358">
        <f t="shared" si="115"/>
        <v>0</v>
      </c>
      <c r="AU121" s="102"/>
      <c r="AV121" s="328"/>
      <c r="AW121" s="357"/>
      <c r="AX121" s="358"/>
      <c r="AY121" s="359"/>
      <c r="AZ121" s="358">
        <f t="shared" si="116"/>
        <v>0</v>
      </c>
      <c r="BA121" s="102"/>
      <c r="BB121" s="328"/>
      <c r="BC121" s="357"/>
      <c r="BD121" s="358"/>
      <c r="BE121" s="359"/>
      <c r="BF121" s="358">
        <f t="shared" si="117"/>
        <v>0</v>
      </c>
      <c r="BG121" s="102"/>
      <c r="BH121" s="286">
        <f t="shared" si="127"/>
        <v>0</v>
      </c>
      <c r="BI121" s="296"/>
      <c r="BJ121" s="231">
        <f t="shared" si="128"/>
        <v>0</v>
      </c>
      <c r="BK121" s="296"/>
      <c r="BL121" s="231">
        <f t="shared" si="104"/>
        <v>0</v>
      </c>
      <c r="BM121" s="102"/>
      <c r="BN121" s="99"/>
      <c r="BO121" s="328"/>
      <c r="BP121" s="357"/>
      <c r="BQ121" s="358"/>
      <c r="BR121" s="359"/>
      <c r="BS121" s="358">
        <f t="shared" si="118"/>
        <v>0</v>
      </c>
      <c r="BT121" s="102"/>
      <c r="BU121" s="328"/>
      <c r="BV121" s="357"/>
      <c r="BW121" s="358"/>
      <c r="BX121" s="359"/>
      <c r="BY121" s="358">
        <f t="shared" si="119"/>
        <v>0</v>
      </c>
      <c r="BZ121" s="102"/>
      <c r="CA121" s="328"/>
      <c r="CB121" s="357"/>
      <c r="CC121" s="358"/>
      <c r="CD121" s="359"/>
      <c r="CE121" s="358">
        <f t="shared" si="120"/>
        <v>0</v>
      </c>
      <c r="CF121" s="102"/>
      <c r="CG121" s="286">
        <f t="shared" si="129"/>
        <v>0</v>
      </c>
      <c r="CH121" s="296"/>
      <c r="CI121" s="231">
        <f t="shared" si="130"/>
        <v>0</v>
      </c>
      <c r="CJ121" s="296"/>
      <c r="CK121" s="231">
        <f t="shared" si="108"/>
        <v>0</v>
      </c>
      <c r="CL121" s="102"/>
      <c r="CM121" s="100"/>
      <c r="CN121" s="328"/>
      <c r="CO121" s="357"/>
      <c r="CP121" s="358"/>
      <c r="CQ121" s="359"/>
      <c r="CR121" s="358">
        <f t="shared" si="121"/>
        <v>0</v>
      </c>
      <c r="CS121" s="102"/>
      <c r="CT121" s="328"/>
      <c r="CU121" s="357"/>
      <c r="CV121" s="358"/>
      <c r="CW121" s="359"/>
      <c r="CX121" s="358">
        <f t="shared" si="122"/>
        <v>0</v>
      </c>
      <c r="CY121" s="102"/>
      <c r="CZ121" s="328"/>
      <c r="DA121" s="357"/>
      <c r="DB121" s="358"/>
      <c r="DC121" s="359"/>
      <c r="DD121" s="358">
        <f t="shared" si="123"/>
        <v>0</v>
      </c>
      <c r="DE121" s="102"/>
      <c r="DF121" s="286">
        <f t="shared" si="131"/>
        <v>0</v>
      </c>
      <c r="DG121" s="296"/>
      <c r="DH121" s="231">
        <f t="shared" si="132"/>
        <v>0</v>
      </c>
      <c r="DI121" s="296"/>
      <c r="DJ121" s="231">
        <f t="shared" si="112"/>
        <v>0</v>
      </c>
      <c r="DK121" s="8"/>
    </row>
    <row r="122" spans="1:115" s="3" customFormat="1" ht="21.75" customHeight="1" thickTop="1" thickBot="1" x14ac:dyDescent="0.3">
      <c r="A122" s="80">
        <v>113</v>
      </c>
      <c r="B122" s="572"/>
      <c r="C122" s="579" t="s">
        <v>121</v>
      </c>
      <c r="D122" s="580"/>
      <c r="E122" s="580"/>
      <c r="F122" s="580"/>
      <c r="G122" s="580"/>
      <c r="H122" s="580"/>
      <c r="I122" s="581"/>
      <c r="J122" s="266">
        <f t="shared" si="93"/>
        <v>0</v>
      </c>
      <c r="K122" s="308"/>
      <c r="L122" s="267">
        <f t="shared" si="94"/>
        <v>0</v>
      </c>
      <c r="M122" s="308"/>
      <c r="N122" s="225">
        <f t="shared" si="124"/>
        <v>0</v>
      </c>
      <c r="O122" s="64">
        <f t="shared" si="95"/>
        <v>0</v>
      </c>
      <c r="P122" s="47"/>
      <c r="Q122" s="422">
        <f>Q120-Q121</f>
        <v>0</v>
      </c>
      <c r="R122" s="421"/>
      <c r="S122" s="423">
        <f>S120-S121</f>
        <v>0</v>
      </c>
      <c r="T122" s="421"/>
      <c r="U122" s="423">
        <f t="shared" si="96"/>
        <v>0</v>
      </c>
      <c r="V122" s="143"/>
      <c r="W122" s="422">
        <f>W120-W121</f>
        <v>0</v>
      </c>
      <c r="X122" s="421"/>
      <c r="Y122" s="423">
        <f>Y120-Y121</f>
        <v>0</v>
      </c>
      <c r="Z122" s="421"/>
      <c r="AA122" s="423">
        <f t="shared" si="113"/>
        <v>0</v>
      </c>
      <c r="AB122" s="143"/>
      <c r="AC122" s="422">
        <f>AC120-AC121</f>
        <v>0</v>
      </c>
      <c r="AD122" s="421"/>
      <c r="AE122" s="423">
        <f>AE120-AE121</f>
        <v>0</v>
      </c>
      <c r="AF122" s="421"/>
      <c r="AG122" s="423">
        <f t="shared" si="114"/>
        <v>0</v>
      </c>
      <c r="AH122" s="142">
        <f t="shared" si="99"/>
        <v>0</v>
      </c>
      <c r="AI122" s="266">
        <f t="shared" si="125"/>
        <v>0</v>
      </c>
      <c r="AJ122" s="308"/>
      <c r="AK122" s="267">
        <f t="shared" si="126"/>
        <v>0</v>
      </c>
      <c r="AL122" s="308"/>
      <c r="AM122" s="267">
        <f t="shared" si="100"/>
        <v>0</v>
      </c>
      <c r="AN122" s="143"/>
      <c r="AO122" s="99"/>
      <c r="AP122" s="422">
        <f>AP120-AP121</f>
        <v>0</v>
      </c>
      <c r="AQ122" s="421"/>
      <c r="AR122" s="423">
        <f>AR120-AR121</f>
        <v>0</v>
      </c>
      <c r="AS122" s="421"/>
      <c r="AT122" s="423">
        <f t="shared" si="115"/>
        <v>0</v>
      </c>
      <c r="AU122" s="143"/>
      <c r="AV122" s="422">
        <f>AV120-AV121</f>
        <v>0</v>
      </c>
      <c r="AW122" s="421"/>
      <c r="AX122" s="423">
        <f>AX120-AX121</f>
        <v>0</v>
      </c>
      <c r="AY122" s="421"/>
      <c r="AZ122" s="423">
        <f t="shared" si="116"/>
        <v>0</v>
      </c>
      <c r="BA122" s="143"/>
      <c r="BB122" s="422">
        <f>BB120-BB121</f>
        <v>0</v>
      </c>
      <c r="BC122" s="421"/>
      <c r="BD122" s="423">
        <f>BD120-BD121</f>
        <v>0</v>
      </c>
      <c r="BE122" s="421"/>
      <c r="BF122" s="423">
        <f t="shared" si="117"/>
        <v>0</v>
      </c>
      <c r="BG122" s="143"/>
      <c r="BH122" s="266">
        <f t="shared" si="127"/>
        <v>0</v>
      </c>
      <c r="BI122" s="308"/>
      <c r="BJ122" s="267">
        <f t="shared" si="128"/>
        <v>0</v>
      </c>
      <c r="BK122" s="308"/>
      <c r="BL122" s="267">
        <f t="shared" si="104"/>
        <v>0</v>
      </c>
      <c r="BM122" s="143"/>
      <c r="BN122" s="99"/>
      <c r="BO122" s="422">
        <f>BO120-BO121</f>
        <v>0</v>
      </c>
      <c r="BP122" s="421"/>
      <c r="BQ122" s="423">
        <f>BQ120-BQ121</f>
        <v>0</v>
      </c>
      <c r="BR122" s="421"/>
      <c r="BS122" s="423">
        <f t="shared" si="118"/>
        <v>0</v>
      </c>
      <c r="BT122" s="143"/>
      <c r="BU122" s="422">
        <f>BU120-BU121</f>
        <v>0</v>
      </c>
      <c r="BV122" s="421"/>
      <c r="BW122" s="423">
        <f>BW120-BW121</f>
        <v>0</v>
      </c>
      <c r="BX122" s="421"/>
      <c r="BY122" s="423">
        <f t="shared" si="119"/>
        <v>0</v>
      </c>
      <c r="BZ122" s="143"/>
      <c r="CA122" s="422">
        <f>CA120-CA121</f>
        <v>0</v>
      </c>
      <c r="CB122" s="421"/>
      <c r="CC122" s="423">
        <f>CC120-CC121</f>
        <v>0</v>
      </c>
      <c r="CD122" s="421"/>
      <c r="CE122" s="423">
        <f t="shared" si="120"/>
        <v>0</v>
      </c>
      <c r="CF122" s="143"/>
      <c r="CG122" s="266">
        <f t="shared" si="129"/>
        <v>0</v>
      </c>
      <c r="CH122" s="308"/>
      <c r="CI122" s="267">
        <f t="shared" si="130"/>
        <v>0</v>
      </c>
      <c r="CJ122" s="308"/>
      <c r="CK122" s="267">
        <f t="shared" si="108"/>
        <v>0</v>
      </c>
      <c r="CL122" s="143"/>
      <c r="CM122" s="100"/>
      <c r="CN122" s="422">
        <f>CN120-CN121</f>
        <v>0</v>
      </c>
      <c r="CO122" s="421"/>
      <c r="CP122" s="423">
        <f>CP120-CP121</f>
        <v>0</v>
      </c>
      <c r="CQ122" s="421"/>
      <c r="CR122" s="423">
        <f t="shared" si="121"/>
        <v>0</v>
      </c>
      <c r="CS122" s="143"/>
      <c r="CT122" s="422">
        <f>CT120-CT121</f>
        <v>0</v>
      </c>
      <c r="CU122" s="421"/>
      <c r="CV122" s="423">
        <f>CV120-CV121</f>
        <v>0</v>
      </c>
      <c r="CW122" s="421"/>
      <c r="CX122" s="423">
        <f t="shared" si="122"/>
        <v>0</v>
      </c>
      <c r="CY122" s="143"/>
      <c r="CZ122" s="422">
        <f>CZ120-CZ121</f>
        <v>0</v>
      </c>
      <c r="DA122" s="421"/>
      <c r="DB122" s="423">
        <f>DB120-DB121</f>
        <v>0</v>
      </c>
      <c r="DC122" s="421"/>
      <c r="DD122" s="423">
        <f t="shared" si="123"/>
        <v>0</v>
      </c>
      <c r="DE122" s="143"/>
      <c r="DF122" s="266">
        <f t="shared" si="131"/>
        <v>0</v>
      </c>
      <c r="DG122" s="308"/>
      <c r="DH122" s="267">
        <f t="shared" si="132"/>
        <v>0</v>
      </c>
      <c r="DI122" s="308"/>
      <c r="DJ122" s="267">
        <f t="shared" si="112"/>
        <v>0</v>
      </c>
      <c r="DK122" s="26"/>
    </row>
    <row r="123" spans="1:115" s="3" customFormat="1" ht="21.75" customHeight="1" thickBot="1" x14ac:dyDescent="0.3">
      <c r="A123" s="80">
        <v>114</v>
      </c>
      <c r="B123" s="582" t="s">
        <v>122</v>
      </c>
      <c r="C123" s="583"/>
      <c r="D123" s="583"/>
      <c r="E123" s="583"/>
      <c r="F123" s="583"/>
      <c r="G123" s="583"/>
      <c r="H123" s="583"/>
      <c r="I123" s="584"/>
      <c r="J123" s="268">
        <f t="shared" si="93"/>
        <v>0</v>
      </c>
      <c r="K123" s="284" t="str">
        <f>IF(ISERROR(J123/J153),"",J123/J153)</f>
        <v/>
      </c>
      <c r="L123" s="269">
        <f t="shared" si="94"/>
        <v>0</v>
      </c>
      <c r="M123" s="284" t="str">
        <f>IF(ISERROR(L123/L153),"",L123/L153)</f>
        <v/>
      </c>
      <c r="N123" s="226">
        <f t="shared" si="124"/>
        <v>0</v>
      </c>
      <c r="O123" s="65" t="e">
        <f t="shared" si="95"/>
        <v>#VALUE!</v>
      </c>
      <c r="P123" s="47"/>
      <c r="Q123" s="426">
        <f>Q119+Q122</f>
        <v>0</v>
      </c>
      <c r="R123" s="424" t="str">
        <f>IF(ISERROR(Q123/Q153),"",Q123/Q153)</f>
        <v/>
      </c>
      <c r="S123" s="425">
        <f>S119+S122</f>
        <v>0</v>
      </c>
      <c r="T123" s="424" t="str">
        <f>IF(ISERROR(S123/S153),"",S123/S153)</f>
        <v/>
      </c>
      <c r="U123" s="425">
        <f t="shared" si="96"/>
        <v>0</v>
      </c>
      <c r="V123" s="145"/>
      <c r="W123" s="426">
        <f>W119+W122</f>
        <v>0</v>
      </c>
      <c r="X123" s="424" t="str">
        <f>IF(ISERROR(W123/W153),"",W123/W153)</f>
        <v/>
      </c>
      <c r="Y123" s="425">
        <f>Y119+Y122</f>
        <v>0</v>
      </c>
      <c r="Z123" s="424" t="str">
        <f>IF(ISERROR(Y123/Y153),"",Y123/Y153)</f>
        <v/>
      </c>
      <c r="AA123" s="425">
        <f t="shared" si="113"/>
        <v>0</v>
      </c>
      <c r="AB123" s="145"/>
      <c r="AC123" s="426">
        <f>AC119+AC122</f>
        <v>0</v>
      </c>
      <c r="AD123" s="424" t="str">
        <f>IF(ISERROR(AC123/AC153),"",AC123/AC153)</f>
        <v/>
      </c>
      <c r="AE123" s="425">
        <f>AE119+AE122</f>
        <v>0</v>
      </c>
      <c r="AF123" s="424" t="str">
        <f>IF(ISERROR(AE123/AE153),"",AE123/AE153)</f>
        <v/>
      </c>
      <c r="AG123" s="425">
        <f t="shared" si="114"/>
        <v>0</v>
      </c>
      <c r="AH123" s="144" t="e">
        <f t="shared" si="99"/>
        <v>#VALUE!</v>
      </c>
      <c r="AI123" s="268">
        <f t="shared" si="125"/>
        <v>0</v>
      </c>
      <c r="AJ123" s="284" t="str">
        <f>IF(ISERROR(AI123/AI153),"",AI123/AI153)</f>
        <v/>
      </c>
      <c r="AK123" s="269">
        <f t="shared" si="126"/>
        <v>0</v>
      </c>
      <c r="AL123" s="284" t="str">
        <f>IF(ISERROR(AK123/AK153),"",AK123/AK153)</f>
        <v/>
      </c>
      <c r="AM123" s="269">
        <f t="shared" si="100"/>
        <v>0</v>
      </c>
      <c r="AN123" s="145"/>
      <c r="AO123" s="99"/>
      <c r="AP123" s="426">
        <f>AP119+AP122</f>
        <v>0</v>
      </c>
      <c r="AQ123" s="424" t="str">
        <f>IF(ISERROR(AP123/AP153),"",AP123/AP153)</f>
        <v/>
      </c>
      <c r="AR123" s="425">
        <f>AR119+AR122</f>
        <v>0</v>
      </c>
      <c r="AS123" s="424" t="str">
        <f>IF(ISERROR(AR123/AR153),"",AR123/AR153)</f>
        <v/>
      </c>
      <c r="AT123" s="425">
        <f t="shared" si="115"/>
        <v>0</v>
      </c>
      <c r="AU123" s="145"/>
      <c r="AV123" s="426">
        <f>AV119+AV122</f>
        <v>0</v>
      </c>
      <c r="AW123" s="424" t="str">
        <f>IF(ISERROR(AV123/AV153),"",AV123/AV153)</f>
        <v/>
      </c>
      <c r="AX123" s="425">
        <f>AX119+AX122</f>
        <v>0</v>
      </c>
      <c r="AY123" s="424" t="str">
        <f>IF(ISERROR(AX123/AX153),"",AX123/AX153)</f>
        <v/>
      </c>
      <c r="AZ123" s="425">
        <f t="shared" si="116"/>
        <v>0</v>
      </c>
      <c r="BA123" s="145"/>
      <c r="BB123" s="426">
        <f>BB119+BB122</f>
        <v>0</v>
      </c>
      <c r="BC123" s="424" t="str">
        <f>IF(ISERROR(BB123/BB153),"",BB123/BB153)</f>
        <v/>
      </c>
      <c r="BD123" s="425">
        <f>BD119+BD122</f>
        <v>0</v>
      </c>
      <c r="BE123" s="424" t="str">
        <f>IF(ISERROR(BD123/BD153),"",BD123/BD153)</f>
        <v/>
      </c>
      <c r="BF123" s="425">
        <f t="shared" si="117"/>
        <v>0</v>
      </c>
      <c r="BG123" s="145"/>
      <c r="BH123" s="268">
        <f t="shared" si="127"/>
        <v>0</v>
      </c>
      <c r="BI123" s="284" t="str">
        <f>IF(ISERROR(BH123/BH153),"",BH123/BH153)</f>
        <v/>
      </c>
      <c r="BJ123" s="269">
        <f t="shared" si="128"/>
        <v>0</v>
      </c>
      <c r="BK123" s="284" t="str">
        <f>IF(ISERROR(BJ123/BJ153),"",BJ123/BJ153)</f>
        <v/>
      </c>
      <c r="BL123" s="269">
        <f t="shared" si="104"/>
        <v>0</v>
      </c>
      <c r="BM123" s="145"/>
      <c r="BN123" s="99"/>
      <c r="BO123" s="426">
        <f>BO119+BO122</f>
        <v>0</v>
      </c>
      <c r="BP123" s="424" t="str">
        <f>IF(ISERROR(BO123/BO153),"",BO123/BO153)</f>
        <v/>
      </c>
      <c r="BQ123" s="425">
        <f>BQ119+BQ122</f>
        <v>0</v>
      </c>
      <c r="BR123" s="424" t="str">
        <f>IF(ISERROR(BQ123/BQ153),"",BQ123/BQ153)</f>
        <v/>
      </c>
      <c r="BS123" s="425">
        <f t="shared" si="118"/>
        <v>0</v>
      </c>
      <c r="BT123" s="145"/>
      <c r="BU123" s="426">
        <f>BU119+BU122</f>
        <v>0</v>
      </c>
      <c r="BV123" s="424" t="str">
        <f>IF(ISERROR(BU123/BU153),"",BU123/BU153)</f>
        <v/>
      </c>
      <c r="BW123" s="425">
        <f>BW119+BW122</f>
        <v>0</v>
      </c>
      <c r="BX123" s="424" t="str">
        <f>IF(ISERROR(BW123/BW153),"",BW123/BW153)</f>
        <v/>
      </c>
      <c r="BY123" s="425">
        <f t="shared" si="119"/>
        <v>0</v>
      </c>
      <c r="BZ123" s="145"/>
      <c r="CA123" s="426">
        <f>CA119+CA122</f>
        <v>0</v>
      </c>
      <c r="CB123" s="424" t="str">
        <f>IF(ISERROR(CA123/CA153),"",CA123/CA153)</f>
        <v/>
      </c>
      <c r="CC123" s="425">
        <f>CC119+CC122</f>
        <v>0</v>
      </c>
      <c r="CD123" s="424" t="str">
        <f>IF(ISERROR(CC123/CC153),"",CC123/CC153)</f>
        <v/>
      </c>
      <c r="CE123" s="425">
        <f t="shared" si="120"/>
        <v>0</v>
      </c>
      <c r="CF123" s="145"/>
      <c r="CG123" s="268">
        <f t="shared" si="129"/>
        <v>0</v>
      </c>
      <c r="CH123" s="284" t="str">
        <f>IF(ISERROR(CG123/CG153),"",CG123/CG153)</f>
        <v/>
      </c>
      <c r="CI123" s="269">
        <f t="shared" si="130"/>
        <v>0</v>
      </c>
      <c r="CJ123" s="284" t="str">
        <f>IF(ISERROR(CI123/CI153),"",CI123/CI153)</f>
        <v/>
      </c>
      <c r="CK123" s="269">
        <f t="shared" si="108"/>
        <v>0</v>
      </c>
      <c r="CL123" s="145"/>
      <c r="CM123" s="100"/>
      <c r="CN123" s="426">
        <f>CN119+CN122</f>
        <v>0</v>
      </c>
      <c r="CO123" s="424" t="str">
        <f>IF(ISERROR(CN123/CN153),"",CN123/CN153)</f>
        <v/>
      </c>
      <c r="CP123" s="425">
        <f>CP119+CP122</f>
        <v>0</v>
      </c>
      <c r="CQ123" s="424" t="str">
        <f>IF(ISERROR(CP123/CP153),"",CP123/CP153)</f>
        <v/>
      </c>
      <c r="CR123" s="425">
        <f t="shared" si="121"/>
        <v>0</v>
      </c>
      <c r="CS123" s="145"/>
      <c r="CT123" s="426">
        <f>CT119+CT122</f>
        <v>0</v>
      </c>
      <c r="CU123" s="424" t="str">
        <f>IF(ISERROR(CT123/CT153),"",CT123/CT153)</f>
        <v/>
      </c>
      <c r="CV123" s="425">
        <f>CV119+CV122</f>
        <v>0</v>
      </c>
      <c r="CW123" s="424" t="str">
        <f>IF(ISERROR(CV123/CV153),"",CV123/CV153)</f>
        <v/>
      </c>
      <c r="CX123" s="425">
        <f t="shared" si="122"/>
        <v>0</v>
      </c>
      <c r="CY123" s="145"/>
      <c r="CZ123" s="426">
        <f>CZ119+CZ122</f>
        <v>0</v>
      </c>
      <c r="DA123" s="424" t="str">
        <f>IF(ISERROR(CZ123/CZ153),"",CZ123/CZ153)</f>
        <v/>
      </c>
      <c r="DB123" s="425">
        <f>DB119+DB122</f>
        <v>0</v>
      </c>
      <c r="DC123" s="424" t="str">
        <f>IF(ISERROR(DB123/DB153),"",DB123/DB153)</f>
        <v/>
      </c>
      <c r="DD123" s="425">
        <f t="shared" si="123"/>
        <v>0</v>
      </c>
      <c r="DE123" s="145"/>
      <c r="DF123" s="268">
        <f t="shared" si="131"/>
        <v>0</v>
      </c>
      <c r="DG123" s="284" t="str">
        <f>IF(ISERROR(DF123/DF153),"",DF123/DF153)</f>
        <v/>
      </c>
      <c r="DH123" s="269">
        <f t="shared" si="132"/>
        <v>0</v>
      </c>
      <c r="DI123" s="284" t="str">
        <f>IF(ISERROR(DH123/DH153),"",DH123/DH153)</f>
        <v/>
      </c>
      <c r="DJ123" s="269">
        <f t="shared" si="112"/>
        <v>0</v>
      </c>
      <c r="DK123" s="27"/>
    </row>
    <row r="124" spans="1:115" s="3" customFormat="1" ht="21.75" customHeight="1" x14ac:dyDescent="0.25">
      <c r="A124" s="80">
        <v>115</v>
      </c>
      <c r="B124" s="585" t="s">
        <v>123</v>
      </c>
      <c r="C124" s="585"/>
      <c r="D124" s="585"/>
      <c r="E124" s="585"/>
      <c r="F124" s="585"/>
      <c r="G124" s="585"/>
      <c r="H124" s="585"/>
      <c r="I124" s="585"/>
      <c r="J124" s="146"/>
      <c r="K124" s="146"/>
      <c r="L124" s="146"/>
      <c r="M124" s="146"/>
      <c r="N124" s="146"/>
      <c r="O124" s="66"/>
      <c r="P124" s="67"/>
      <c r="Q124" s="427"/>
      <c r="R124" s="427"/>
      <c r="S124" s="427"/>
      <c r="T124" s="427"/>
      <c r="U124" s="427"/>
      <c r="V124" s="146"/>
      <c r="W124" s="427"/>
      <c r="X124" s="427"/>
      <c r="Y124" s="427"/>
      <c r="Z124" s="427"/>
      <c r="AA124" s="427"/>
      <c r="AB124" s="146"/>
      <c r="AC124" s="427"/>
      <c r="AD124" s="427"/>
      <c r="AE124" s="427"/>
      <c r="AF124" s="427"/>
      <c r="AG124" s="427"/>
      <c r="AH124" s="146"/>
      <c r="AI124" s="146"/>
      <c r="AJ124" s="146"/>
      <c r="AK124" s="146"/>
      <c r="AL124" s="146"/>
      <c r="AM124" s="146"/>
      <c r="AN124" s="146"/>
      <c r="AO124" s="147"/>
      <c r="AP124" s="427"/>
      <c r="AQ124" s="427"/>
      <c r="AR124" s="427"/>
      <c r="AS124" s="427"/>
      <c r="AT124" s="427"/>
      <c r="AU124" s="146"/>
      <c r="AV124" s="427"/>
      <c r="AW124" s="427"/>
      <c r="AX124" s="427"/>
      <c r="AY124" s="427"/>
      <c r="AZ124" s="427"/>
      <c r="BA124" s="146"/>
      <c r="BB124" s="427"/>
      <c r="BC124" s="427"/>
      <c r="BD124" s="427"/>
      <c r="BE124" s="427"/>
      <c r="BF124" s="427"/>
      <c r="BG124" s="146"/>
      <c r="BH124" s="146"/>
      <c r="BI124" s="146"/>
      <c r="BJ124" s="146"/>
      <c r="BK124" s="146"/>
      <c r="BL124" s="146"/>
      <c r="BM124" s="146"/>
      <c r="BN124" s="147"/>
      <c r="BO124" s="427"/>
      <c r="BP124" s="427"/>
      <c r="BQ124" s="427"/>
      <c r="BR124" s="427"/>
      <c r="BS124" s="427"/>
      <c r="BT124" s="146"/>
      <c r="BU124" s="427"/>
      <c r="BV124" s="427"/>
      <c r="BW124" s="427"/>
      <c r="BX124" s="427"/>
      <c r="BY124" s="427"/>
      <c r="BZ124" s="146"/>
      <c r="CA124" s="427"/>
      <c r="CB124" s="427"/>
      <c r="CC124" s="427"/>
      <c r="CD124" s="427"/>
      <c r="CE124" s="427"/>
      <c r="CF124" s="146"/>
      <c r="CG124" s="146"/>
      <c r="CH124" s="146"/>
      <c r="CI124" s="146"/>
      <c r="CJ124" s="146"/>
      <c r="CK124" s="146"/>
      <c r="CL124" s="146"/>
      <c r="CM124" s="148"/>
      <c r="CN124" s="427"/>
      <c r="CO124" s="427"/>
      <c r="CP124" s="427"/>
      <c r="CQ124" s="427"/>
      <c r="CR124" s="427"/>
      <c r="CS124" s="146"/>
      <c r="CT124" s="427"/>
      <c r="CU124" s="427"/>
      <c r="CV124" s="427"/>
      <c r="CW124" s="427"/>
      <c r="CX124" s="427"/>
      <c r="CY124" s="146"/>
      <c r="CZ124" s="427"/>
      <c r="DA124" s="427"/>
      <c r="DB124" s="427"/>
      <c r="DC124" s="427"/>
      <c r="DD124" s="427"/>
      <c r="DE124" s="146"/>
      <c r="DF124" s="146"/>
      <c r="DG124" s="146"/>
      <c r="DH124" s="146"/>
      <c r="DI124" s="146"/>
      <c r="DJ124" s="146"/>
      <c r="DK124" s="28"/>
    </row>
    <row r="125" spans="1:115" s="3" customFormat="1" ht="21.75" customHeight="1" thickBot="1" x14ac:dyDescent="0.5">
      <c r="A125" s="80">
        <v>116</v>
      </c>
      <c r="B125" s="586" t="s">
        <v>124</v>
      </c>
      <c r="C125" s="586"/>
      <c r="D125" s="586"/>
      <c r="E125" s="586"/>
      <c r="F125" s="586"/>
      <c r="G125" s="586"/>
      <c r="H125" s="586"/>
      <c r="I125" s="586"/>
      <c r="J125" s="149"/>
      <c r="K125" s="149"/>
      <c r="L125" s="149"/>
      <c r="M125" s="149"/>
      <c r="N125" s="149"/>
      <c r="O125" s="68"/>
      <c r="P125" s="68"/>
      <c r="Q125" s="428"/>
      <c r="R125" s="428"/>
      <c r="S125" s="428"/>
      <c r="T125" s="428"/>
      <c r="U125" s="428"/>
      <c r="V125" s="149"/>
      <c r="W125" s="428"/>
      <c r="X125" s="428"/>
      <c r="Y125" s="428"/>
      <c r="Z125" s="428"/>
      <c r="AA125" s="428"/>
      <c r="AB125" s="149"/>
      <c r="AC125" s="428"/>
      <c r="AD125" s="428"/>
      <c r="AE125" s="428"/>
      <c r="AF125" s="428"/>
      <c r="AG125" s="428"/>
      <c r="AH125" s="149"/>
      <c r="AI125" s="149"/>
      <c r="AJ125" s="149"/>
      <c r="AK125" s="149"/>
      <c r="AL125" s="149"/>
      <c r="AM125" s="149"/>
      <c r="AN125" s="149"/>
      <c r="AO125" s="147"/>
      <c r="AP125" s="428"/>
      <c r="AQ125" s="428"/>
      <c r="AR125" s="428"/>
      <c r="AS125" s="428"/>
      <c r="AT125" s="428"/>
      <c r="AU125" s="149"/>
      <c r="AV125" s="428"/>
      <c r="AW125" s="428"/>
      <c r="AX125" s="428"/>
      <c r="AY125" s="428"/>
      <c r="AZ125" s="428"/>
      <c r="BA125" s="149"/>
      <c r="BB125" s="428"/>
      <c r="BC125" s="428"/>
      <c r="BD125" s="428"/>
      <c r="BE125" s="428"/>
      <c r="BF125" s="428"/>
      <c r="BG125" s="149"/>
      <c r="BH125" s="149"/>
      <c r="BI125" s="149"/>
      <c r="BJ125" s="149"/>
      <c r="BK125" s="149"/>
      <c r="BL125" s="149"/>
      <c r="BM125" s="149"/>
      <c r="BN125" s="147"/>
      <c r="BO125" s="428"/>
      <c r="BP125" s="428"/>
      <c r="BQ125" s="428"/>
      <c r="BR125" s="428"/>
      <c r="BS125" s="428"/>
      <c r="BT125" s="149"/>
      <c r="BU125" s="428"/>
      <c r="BV125" s="428"/>
      <c r="BW125" s="428"/>
      <c r="BX125" s="428"/>
      <c r="BY125" s="428"/>
      <c r="BZ125" s="149"/>
      <c r="CA125" s="428"/>
      <c r="CB125" s="428"/>
      <c r="CC125" s="428"/>
      <c r="CD125" s="428"/>
      <c r="CE125" s="428"/>
      <c r="CF125" s="149"/>
      <c r="CG125" s="149"/>
      <c r="CH125" s="149"/>
      <c r="CI125" s="149"/>
      <c r="CJ125" s="149"/>
      <c r="CK125" s="149"/>
      <c r="CL125" s="149"/>
      <c r="CM125" s="148"/>
      <c r="CN125" s="428"/>
      <c r="CO125" s="428"/>
      <c r="CP125" s="428"/>
      <c r="CQ125" s="428"/>
      <c r="CR125" s="428"/>
      <c r="CS125" s="149"/>
      <c r="CT125" s="428"/>
      <c r="CU125" s="428"/>
      <c r="CV125" s="428"/>
      <c r="CW125" s="428"/>
      <c r="CX125" s="428"/>
      <c r="CY125" s="149"/>
      <c r="CZ125" s="428"/>
      <c r="DA125" s="428"/>
      <c r="DB125" s="428"/>
      <c r="DC125" s="428"/>
      <c r="DD125" s="428"/>
      <c r="DE125" s="149"/>
      <c r="DF125" s="149"/>
      <c r="DG125" s="149"/>
      <c r="DH125" s="149"/>
      <c r="DI125" s="149"/>
      <c r="DJ125" s="149"/>
      <c r="DK125" s="29"/>
    </row>
    <row r="126" spans="1:115" s="3" customFormat="1" ht="21.75" customHeight="1" thickBot="1" x14ac:dyDescent="0.3">
      <c r="A126" s="80">
        <v>117</v>
      </c>
      <c r="B126" s="564" t="s">
        <v>125</v>
      </c>
      <c r="C126" s="565"/>
      <c r="D126" s="565"/>
      <c r="E126" s="565"/>
      <c r="F126" s="565"/>
      <c r="G126" s="565"/>
      <c r="H126" s="565"/>
      <c r="I126" s="566"/>
      <c r="J126" s="182">
        <f>IFERROR(J12/J11,J12/11)</f>
        <v>0</v>
      </c>
      <c r="K126" s="153"/>
      <c r="L126" s="182">
        <f>IFERROR(L12/L11,L12/11)</f>
        <v>0</v>
      </c>
      <c r="M126" s="153"/>
      <c r="N126" s="153"/>
      <c r="O126" s="69"/>
      <c r="P126" s="68"/>
      <c r="Q126" s="429">
        <f>IFERROR(Q12/Q11,Q12/11)</f>
        <v>0</v>
      </c>
      <c r="R126" s="430"/>
      <c r="S126" s="431">
        <f>IFERROR(S12/S11,S12/11)</f>
        <v>0</v>
      </c>
      <c r="T126" s="432"/>
      <c r="U126" s="432">
        <f t="shared" ref="U126:U131" si="133">Q126-S126</f>
        <v>0</v>
      </c>
      <c r="V126" s="151"/>
      <c r="W126" s="429">
        <f>IFERROR(W12/W11,W12/11)</f>
        <v>0</v>
      </c>
      <c r="X126" s="430"/>
      <c r="Y126" s="431">
        <f>IFERROR(Y12/Y11,Y12/11)</f>
        <v>0</v>
      </c>
      <c r="Z126" s="432"/>
      <c r="AA126" s="432">
        <f t="shared" ref="AA126:AA131" si="134">W126-Y126</f>
        <v>0</v>
      </c>
      <c r="AB126" s="151"/>
      <c r="AC126" s="429">
        <f>IFERROR(AC12/AC11,AC12/11)</f>
        <v>0</v>
      </c>
      <c r="AD126" s="430"/>
      <c r="AE126" s="431">
        <f>IFERROR(AE12/AE11,AE12/11)</f>
        <v>0</v>
      </c>
      <c r="AF126" s="432"/>
      <c r="AG126" s="432">
        <f t="shared" ref="AG126:AG131" si="135">AC126-AE126</f>
        <v>0</v>
      </c>
      <c r="AH126" s="152">
        <f t="shared" ref="AH126:AH131" si="136">AE126-AF126</f>
        <v>0</v>
      </c>
      <c r="AI126" s="336">
        <f>IFERROR(AI12/AI11,AI12/11)</f>
        <v>0</v>
      </c>
      <c r="AJ126" s="337"/>
      <c r="AK126" s="182">
        <f>IFERROR(AK12/AK11,AK12/11)</f>
        <v>0</v>
      </c>
      <c r="AL126" s="153"/>
      <c r="AM126" s="153">
        <f t="shared" ref="AM126:AM131" si="137">AI126-AK126</f>
        <v>0</v>
      </c>
      <c r="AN126" s="151"/>
      <c r="AO126" s="147"/>
      <c r="AP126" s="429">
        <f>IFERROR(AP12/AP11,AP12/11)</f>
        <v>0</v>
      </c>
      <c r="AQ126" s="430"/>
      <c r="AR126" s="431">
        <f>IFERROR(AR12/AR11,AR12/11)</f>
        <v>0</v>
      </c>
      <c r="AS126" s="432"/>
      <c r="AT126" s="432">
        <f t="shared" ref="AT126:AT131" si="138">AP126-AR126</f>
        <v>0</v>
      </c>
      <c r="AU126" s="151"/>
      <c r="AV126" s="429">
        <f>IFERROR(AV12/AV11,AV12/11)</f>
        <v>0</v>
      </c>
      <c r="AW126" s="430"/>
      <c r="AX126" s="431">
        <f>IFERROR(AX12/AX11,AX12/11)</f>
        <v>0</v>
      </c>
      <c r="AY126" s="432"/>
      <c r="AZ126" s="432">
        <f t="shared" ref="AZ126:AZ131" si="139">AV126-AX126</f>
        <v>0</v>
      </c>
      <c r="BA126" s="151"/>
      <c r="BB126" s="429">
        <f>IFERROR(BB12/BB11,BB12/11)</f>
        <v>0</v>
      </c>
      <c r="BC126" s="430"/>
      <c r="BD126" s="431">
        <f>IFERROR(BD12/BD11,BD12/11)</f>
        <v>0</v>
      </c>
      <c r="BE126" s="432"/>
      <c r="BF126" s="432">
        <f t="shared" ref="BF126:BF131" si="140">BB126-BD126</f>
        <v>0</v>
      </c>
      <c r="BG126" s="154"/>
      <c r="BH126" s="336">
        <f>IFERROR(BH12/BH11,BH12/11)</f>
        <v>0</v>
      </c>
      <c r="BI126" s="337"/>
      <c r="BJ126" s="182">
        <f>IFERROR(BJ12/BJ11,BJ12/11)</f>
        <v>0</v>
      </c>
      <c r="BK126" s="153"/>
      <c r="BL126" s="153">
        <f t="shared" ref="BL126:BL131" si="141">BH126-BJ126</f>
        <v>0</v>
      </c>
      <c r="BM126" s="150"/>
      <c r="BN126" s="147"/>
      <c r="BO126" s="429">
        <f>IFERROR(BO12/BO11,BO12/11)</f>
        <v>0</v>
      </c>
      <c r="BP126" s="430"/>
      <c r="BQ126" s="431">
        <f>IFERROR(BQ12/BQ11,BQ12/11)</f>
        <v>0</v>
      </c>
      <c r="BR126" s="432"/>
      <c r="BS126" s="432">
        <f t="shared" ref="BS126:BS131" si="142">BO126-BQ126</f>
        <v>0</v>
      </c>
      <c r="BT126" s="151"/>
      <c r="BU126" s="429">
        <f>IFERROR(BU12/BU11,BU12/11)</f>
        <v>0</v>
      </c>
      <c r="BV126" s="430"/>
      <c r="BW126" s="431">
        <f>IFERROR(BW12/BW11,BW12/11)</f>
        <v>0</v>
      </c>
      <c r="BX126" s="432"/>
      <c r="BY126" s="432">
        <f t="shared" ref="BY126:BY131" si="143">BU126-BW126</f>
        <v>0</v>
      </c>
      <c r="BZ126" s="151"/>
      <c r="CA126" s="429">
        <f>IFERROR(CA12/CA11,CA12/11)</f>
        <v>0</v>
      </c>
      <c r="CB126" s="430"/>
      <c r="CC126" s="431">
        <f>IFERROR(CC12/CC11,CC12/11)</f>
        <v>0</v>
      </c>
      <c r="CD126" s="432"/>
      <c r="CE126" s="432">
        <f t="shared" ref="CE126:CE131" si="144">CA126-CC126</f>
        <v>0</v>
      </c>
      <c r="CF126" s="154"/>
      <c r="CG126" s="336">
        <f>IFERROR(CG12/CG11,CG12/11)</f>
        <v>0</v>
      </c>
      <c r="CH126" s="337"/>
      <c r="CI126" s="182">
        <f>IFERROR(CI12/CI11,CI12/11)</f>
        <v>0</v>
      </c>
      <c r="CJ126" s="153"/>
      <c r="CK126" s="153">
        <f t="shared" ref="CK126:CK131" si="145">CG126-CI126</f>
        <v>0</v>
      </c>
      <c r="CL126" s="150"/>
      <c r="CM126" s="148"/>
      <c r="CN126" s="429">
        <f>IFERROR(CN12/CN11,CN12/11)</f>
        <v>0</v>
      </c>
      <c r="CO126" s="430"/>
      <c r="CP126" s="431">
        <f>IFERROR(CP12/CP11,CP12/11)</f>
        <v>0</v>
      </c>
      <c r="CQ126" s="432"/>
      <c r="CR126" s="432">
        <f t="shared" ref="CR126:CR131" si="146">CN126-CP126</f>
        <v>0</v>
      </c>
      <c r="CS126" s="151"/>
      <c r="CT126" s="429">
        <f>IFERROR(CT12/CT11,CT12/11)</f>
        <v>0</v>
      </c>
      <c r="CU126" s="430"/>
      <c r="CV126" s="431">
        <f>IFERROR(CV12/CV11,CV12/11)</f>
        <v>0</v>
      </c>
      <c r="CW126" s="432"/>
      <c r="CX126" s="432">
        <f t="shared" ref="CX126:CX131" si="147">CT126-CV126</f>
        <v>0</v>
      </c>
      <c r="CY126" s="151"/>
      <c r="CZ126" s="429">
        <f>IFERROR(CZ12/CZ11,CZ12/11)</f>
        <v>0</v>
      </c>
      <c r="DA126" s="430"/>
      <c r="DB126" s="431">
        <f>IFERROR(DB12/DB11,DB12/11)</f>
        <v>0</v>
      </c>
      <c r="DC126" s="432"/>
      <c r="DD126" s="432">
        <f t="shared" ref="DD126:DD131" si="148">CZ126-DB126</f>
        <v>0</v>
      </c>
      <c r="DE126" s="154"/>
      <c r="DF126" s="336">
        <f>IFERROR(DF12/DF11,DF12/11)</f>
        <v>0</v>
      </c>
      <c r="DG126" s="337"/>
      <c r="DH126" s="182">
        <f>IFERROR(DH12/DH11,DH12/11)</f>
        <v>0</v>
      </c>
      <c r="DI126" s="153"/>
      <c r="DJ126" s="153">
        <f t="shared" ref="DJ126:DJ131" si="149">DF126-DH126</f>
        <v>0</v>
      </c>
      <c r="DK126" s="30"/>
    </row>
    <row r="127" spans="1:115" s="3" customFormat="1" ht="21.75" customHeight="1" thickTop="1" x14ac:dyDescent="0.25">
      <c r="A127" s="80">
        <v>118</v>
      </c>
      <c r="B127" s="552" t="s">
        <v>126</v>
      </c>
      <c r="C127" s="553"/>
      <c r="D127" s="553"/>
      <c r="E127" s="553"/>
      <c r="F127" s="553"/>
      <c r="G127" s="553"/>
      <c r="H127" s="553"/>
      <c r="I127" s="554"/>
      <c r="J127" s="310">
        <f>SUM(Q127,W127,AC127,AP127,AV127,BB127,BO127,BU127,CA127,CN127,CT127,CZ127)</f>
        <v>0</v>
      </c>
      <c r="K127" s="158"/>
      <c r="L127" s="310">
        <f>SUM(S127,Y127,AE127,AR127,AX127,BD127,BQ127,BW127,CC127,CP127,CV127,DB127)</f>
        <v>0</v>
      </c>
      <c r="M127" s="158"/>
      <c r="N127" s="158">
        <f>J127-L127</f>
        <v>0</v>
      </c>
      <c r="O127" s="70"/>
      <c r="P127" s="68"/>
      <c r="Q127" s="472"/>
      <c r="R127" s="433"/>
      <c r="S127" s="434"/>
      <c r="T127" s="435"/>
      <c r="U127" s="435">
        <f t="shared" si="133"/>
        <v>0</v>
      </c>
      <c r="V127" s="156"/>
      <c r="W127" s="472"/>
      <c r="X127" s="433"/>
      <c r="Y127" s="434"/>
      <c r="Z127" s="435"/>
      <c r="AA127" s="435">
        <f t="shared" si="134"/>
        <v>0</v>
      </c>
      <c r="AB127" s="156"/>
      <c r="AC127" s="472"/>
      <c r="AD127" s="433"/>
      <c r="AE127" s="434"/>
      <c r="AF127" s="435"/>
      <c r="AG127" s="435">
        <f t="shared" si="135"/>
        <v>0</v>
      </c>
      <c r="AH127" s="157">
        <f t="shared" si="136"/>
        <v>0</v>
      </c>
      <c r="AI127" s="275">
        <f t="shared" ref="AI127:AI131" si="150">SUM(Q127,W127,AC127)</f>
        <v>0</v>
      </c>
      <c r="AJ127" s="158"/>
      <c r="AK127" s="275">
        <f t="shared" ref="AK127:AK131" si="151">SUM(S127,Y127,AE127)</f>
        <v>0</v>
      </c>
      <c r="AL127" s="158"/>
      <c r="AM127" s="158">
        <f t="shared" si="137"/>
        <v>0</v>
      </c>
      <c r="AN127" s="156"/>
      <c r="AO127" s="147"/>
      <c r="AP127" s="472"/>
      <c r="AQ127" s="433"/>
      <c r="AR127" s="434"/>
      <c r="AS127" s="435"/>
      <c r="AT127" s="435">
        <f t="shared" si="138"/>
        <v>0</v>
      </c>
      <c r="AU127" s="156"/>
      <c r="AV127" s="472"/>
      <c r="AW127" s="433"/>
      <c r="AX127" s="434"/>
      <c r="AY127" s="435"/>
      <c r="AZ127" s="435">
        <f t="shared" si="139"/>
        <v>0</v>
      </c>
      <c r="BA127" s="156"/>
      <c r="BB127" s="472"/>
      <c r="BC127" s="433"/>
      <c r="BD127" s="434"/>
      <c r="BE127" s="435"/>
      <c r="BF127" s="435">
        <f t="shared" si="140"/>
        <v>0</v>
      </c>
      <c r="BG127" s="159"/>
      <c r="BH127" s="275">
        <f t="shared" ref="BH127:BH131" si="152">SUM(AP127,AV127,BB127)</f>
        <v>0</v>
      </c>
      <c r="BI127" s="158"/>
      <c r="BJ127" s="275">
        <f t="shared" ref="BJ127:BJ131" si="153">SUM(AR127,AX127,BD127)</f>
        <v>0</v>
      </c>
      <c r="BK127" s="158"/>
      <c r="BL127" s="158">
        <f t="shared" si="141"/>
        <v>0</v>
      </c>
      <c r="BM127" s="155"/>
      <c r="BN127" s="147"/>
      <c r="BO127" s="472"/>
      <c r="BP127" s="433"/>
      <c r="BQ127" s="434"/>
      <c r="BR127" s="435"/>
      <c r="BS127" s="435">
        <f t="shared" si="142"/>
        <v>0</v>
      </c>
      <c r="BT127" s="156"/>
      <c r="BU127" s="472"/>
      <c r="BV127" s="433"/>
      <c r="BW127" s="434"/>
      <c r="BX127" s="435"/>
      <c r="BY127" s="435">
        <f t="shared" si="143"/>
        <v>0</v>
      </c>
      <c r="BZ127" s="156"/>
      <c r="CA127" s="472"/>
      <c r="CB127" s="433"/>
      <c r="CC127" s="434"/>
      <c r="CD127" s="435"/>
      <c r="CE127" s="435">
        <f t="shared" si="144"/>
        <v>0</v>
      </c>
      <c r="CF127" s="159"/>
      <c r="CG127" s="275">
        <f t="shared" ref="CG127:CG131" si="154">SUM(BO127,BU127,CA127)</f>
        <v>0</v>
      </c>
      <c r="CH127" s="158"/>
      <c r="CI127" s="275">
        <f t="shared" ref="CI127:CI131" si="155">SUM(BQ127,BW127,CC127)</f>
        <v>0</v>
      </c>
      <c r="CJ127" s="158"/>
      <c r="CK127" s="158">
        <f t="shared" si="145"/>
        <v>0</v>
      </c>
      <c r="CL127" s="155"/>
      <c r="CM127" s="148"/>
      <c r="CN127" s="472"/>
      <c r="CO127" s="433"/>
      <c r="CP127" s="434"/>
      <c r="CQ127" s="435"/>
      <c r="CR127" s="435">
        <f t="shared" si="146"/>
        <v>0</v>
      </c>
      <c r="CS127" s="156"/>
      <c r="CT127" s="472"/>
      <c r="CU127" s="433"/>
      <c r="CV127" s="434"/>
      <c r="CW127" s="435"/>
      <c r="CX127" s="435">
        <f t="shared" si="147"/>
        <v>0</v>
      </c>
      <c r="CY127" s="156"/>
      <c r="CZ127" s="472"/>
      <c r="DA127" s="433"/>
      <c r="DB127" s="434"/>
      <c r="DC127" s="435"/>
      <c r="DD127" s="435">
        <f t="shared" si="148"/>
        <v>0</v>
      </c>
      <c r="DE127" s="159"/>
      <c r="DF127" s="275">
        <f t="shared" ref="DF127:DF131" si="156">SUM(CN127,CT127,CZ127)</f>
        <v>0</v>
      </c>
      <c r="DG127" s="158"/>
      <c r="DH127" s="275">
        <f t="shared" ref="DH127:DH131" si="157">SUM(CP127,CV127,DB127)</f>
        <v>0</v>
      </c>
      <c r="DI127" s="158"/>
      <c r="DJ127" s="158">
        <f t="shared" si="149"/>
        <v>0</v>
      </c>
      <c r="DK127" s="32"/>
    </row>
    <row r="128" spans="1:115" s="3" customFormat="1" ht="21.75" customHeight="1" x14ac:dyDescent="0.25">
      <c r="A128" s="80">
        <v>119</v>
      </c>
      <c r="B128" s="552" t="s">
        <v>127</v>
      </c>
      <c r="C128" s="553"/>
      <c r="D128" s="553"/>
      <c r="E128" s="553"/>
      <c r="F128" s="553"/>
      <c r="G128" s="553"/>
      <c r="H128" s="553"/>
      <c r="I128" s="554"/>
      <c r="J128" s="310">
        <f>SUM(Q128,W128,AC128,AP128,AV128,BB128,BO128,BU128,CA128,CN128,CT128,CZ128)</f>
        <v>0</v>
      </c>
      <c r="K128" s="158"/>
      <c r="L128" s="310">
        <f>SUM(S128,Y128,AE128,AR128,AX128,BD128,BQ128,BW128,CC128,CP128,CV128,DB128)</f>
        <v>0</v>
      </c>
      <c r="M128" s="158"/>
      <c r="N128" s="158">
        <f>J128-L128</f>
        <v>0</v>
      </c>
      <c r="O128" s="70"/>
      <c r="P128" s="68"/>
      <c r="Q128" s="473"/>
      <c r="R128" s="433"/>
      <c r="S128" s="434"/>
      <c r="T128" s="435"/>
      <c r="U128" s="435">
        <f t="shared" si="133"/>
        <v>0</v>
      </c>
      <c r="V128" s="156"/>
      <c r="W128" s="473"/>
      <c r="X128" s="433"/>
      <c r="Y128" s="434"/>
      <c r="Z128" s="435"/>
      <c r="AA128" s="435">
        <f t="shared" si="134"/>
        <v>0</v>
      </c>
      <c r="AB128" s="156"/>
      <c r="AC128" s="473"/>
      <c r="AD128" s="433"/>
      <c r="AE128" s="434"/>
      <c r="AF128" s="435"/>
      <c r="AG128" s="435">
        <f t="shared" si="135"/>
        <v>0</v>
      </c>
      <c r="AH128" s="157">
        <f t="shared" si="136"/>
        <v>0</v>
      </c>
      <c r="AI128" s="275">
        <f t="shared" si="150"/>
        <v>0</v>
      </c>
      <c r="AJ128" s="158"/>
      <c r="AK128" s="275">
        <f t="shared" si="151"/>
        <v>0</v>
      </c>
      <c r="AL128" s="158"/>
      <c r="AM128" s="158">
        <f t="shared" si="137"/>
        <v>0</v>
      </c>
      <c r="AN128" s="156"/>
      <c r="AO128" s="147"/>
      <c r="AP128" s="473"/>
      <c r="AQ128" s="433"/>
      <c r="AR128" s="434"/>
      <c r="AS128" s="435"/>
      <c r="AT128" s="435">
        <f t="shared" si="138"/>
        <v>0</v>
      </c>
      <c r="AU128" s="156"/>
      <c r="AV128" s="473"/>
      <c r="AW128" s="433"/>
      <c r="AX128" s="434"/>
      <c r="AY128" s="435"/>
      <c r="AZ128" s="435">
        <f t="shared" si="139"/>
        <v>0</v>
      </c>
      <c r="BA128" s="156"/>
      <c r="BB128" s="473"/>
      <c r="BC128" s="433"/>
      <c r="BD128" s="434"/>
      <c r="BE128" s="435"/>
      <c r="BF128" s="435">
        <f t="shared" si="140"/>
        <v>0</v>
      </c>
      <c r="BG128" s="159"/>
      <c r="BH128" s="275">
        <f t="shared" si="152"/>
        <v>0</v>
      </c>
      <c r="BI128" s="158"/>
      <c r="BJ128" s="275">
        <f t="shared" si="153"/>
        <v>0</v>
      </c>
      <c r="BK128" s="158"/>
      <c r="BL128" s="158">
        <f t="shared" si="141"/>
        <v>0</v>
      </c>
      <c r="BM128" s="155"/>
      <c r="BN128" s="147"/>
      <c r="BO128" s="473"/>
      <c r="BP128" s="433"/>
      <c r="BQ128" s="434"/>
      <c r="BR128" s="435"/>
      <c r="BS128" s="435">
        <f t="shared" si="142"/>
        <v>0</v>
      </c>
      <c r="BT128" s="156"/>
      <c r="BU128" s="473"/>
      <c r="BV128" s="433"/>
      <c r="BW128" s="434"/>
      <c r="BX128" s="435"/>
      <c r="BY128" s="435">
        <f t="shared" si="143"/>
        <v>0</v>
      </c>
      <c r="BZ128" s="156"/>
      <c r="CA128" s="473"/>
      <c r="CB128" s="433"/>
      <c r="CC128" s="434"/>
      <c r="CD128" s="435"/>
      <c r="CE128" s="435">
        <f t="shared" si="144"/>
        <v>0</v>
      </c>
      <c r="CF128" s="159"/>
      <c r="CG128" s="275">
        <f t="shared" si="154"/>
        <v>0</v>
      </c>
      <c r="CH128" s="158"/>
      <c r="CI128" s="275">
        <f t="shared" si="155"/>
        <v>0</v>
      </c>
      <c r="CJ128" s="158"/>
      <c r="CK128" s="158">
        <f t="shared" si="145"/>
        <v>0</v>
      </c>
      <c r="CL128" s="155"/>
      <c r="CM128" s="148"/>
      <c r="CN128" s="473"/>
      <c r="CO128" s="433"/>
      <c r="CP128" s="434"/>
      <c r="CQ128" s="435"/>
      <c r="CR128" s="435">
        <f t="shared" si="146"/>
        <v>0</v>
      </c>
      <c r="CS128" s="156"/>
      <c r="CT128" s="473"/>
      <c r="CU128" s="433"/>
      <c r="CV128" s="434"/>
      <c r="CW128" s="435"/>
      <c r="CX128" s="435">
        <f t="shared" si="147"/>
        <v>0</v>
      </c>
      <c r="CY128" s="156"/>
      <c r="CZ128" s="473"/>
      <c r="DA128" s="433"/>
      <c r="DB128" s="434"/>
      <c r="DC128" s="435"/>
      <c r="DD128" s="435">
        <f t="shared" si="148"/>
        <v>0</v>
      </c>
      <c r="DE128" s="159"/>
      <c r="DF128" s="275">
        <f t="shared" si="156"/>
        <v>0</v>
      </c>
      <c r="DG128" s="158"/>
      <c r="DH128" s="275">
        <f t="shared" si="157"/>
        <v>0</v>
      </c>
      <c r="DI128" s="158"/>
      <c r="DJ128" s="158">
        <f t="shared" si="149"/>
        <v>0</v>
      </c>
      <c r="DK128" s="32"/>
    </row>
    <row r="129" spans="1:115" s="3" customFormat="1" ht="21.75" customHeight="1" x14ac:dyDescent="0.25">
      <c r="A129" s="80">
        <v>120</v>
      </c>
      <c r="B129" s="552" t="s">
        <v>128</v>
      </c>
      <c r="C129" s="553"/>
      <c r="D129" s="553"/>
      <c r="E129" s="553"/>
      <c r="F129" s="553"/>
      <c r="G129" s="553"/>
      <c r="H129" s="553"/>
      <c r="I129" s="554"/>
      <c r="J129" s="310">
        <f>SUM(Q129,W129,AC129,AP129,AV129,BB129,BO129,BU129,CA129,CN129,CT129,CZ129)</f>
        <v>0</v>
      </c>
      <c r="K129" s="158"/>
      <c r="L129" s="310">
        <f>SUM(S129,Y129,AE129,AR129,AX129,BD129,BQ129,BW129,CC129,CP129,CV129,DB129)</f>
        <v>0</v>
      </c>
      <c r="M129" s="158"/>
      <c r="N129" s="158">
        <f>J129-L129</f>
        <v>0</v>
      </c>
      <c r="O129" s="70"/>
      <c r="P129" s="68"/>
      <c r="Q129" s="473"/>
      <c r="R129" s="433"/>
      <c r="S129" s="434"/>
      <c r="T129" s="435"/>
      <c r="U129" s="435">
        <f t="shared" si="133"/>
        <v>0</v>
      </c>
      <c r="V129" s="156"/>
      <c r="W129" s="473"/>
      <c r="X129" s="433"/>
      <c r="Y129" s="434"/>
      <c r="Z129" s="435"/>
      <c r="AA129" s="435">
        <f t="shared" si="134"/>
        <v>0</v>
      </c>
      <c r="AB129" s="156"/>
      <c r="AC129" s="473"/>
      <c r="AD129" s="433"/>
      <c r="AE129" s="434"/>
      <c r="AF129" s="435"/>
      <c r="AG129" s="435">
        <f t="shared" si="135"/>
        <v>0</v>
      </c>
      <c r="AH129" s="157">
        <f t="shared" si="136"/>
        <v>0</v>
      </c>
      <c r="AI129" s="275">
        <f t="shared" si="150"/>
        <v>0</v>
      </c>
      <c r="AJ129" s="158"/>
      <c r="AK129" s="275">
        <f t="shared" si="151"/>
        <v>0</v>
      </c>
      <c r="AL129" s="158"/>
      <c r="AM129" s="158">
        <f t="shared" si="137"/>
        <v>0</v>
      </c>
      <c r="AN129" s="156"/>
      <c r="AO129" s="147"/>
      <c r="AP129" s="473"/>
      <c r="AQ129" s="433"/>
      <c r="AR129" s="434"/>
      <c r="AS129" s="435"/>
      <c r="AT129" s="435">
        <f t="shared" si="138"/>
        <v>0</v>
      </c>
      <c r="AU129" s="156"/>
      <c r="AV129" s="473"/>
      <c r="AW129" s="433"/>
      <c r="AX129" s="434"/>
      <c r="AY129" s="435"/>
      <c r="AZ129" s="435">
        <f t="shared" si="139"/>
        <v>0</v>
      </c>
      <c r="BA129" s="156"/>
      <c r="BB129" s="473"/>
      <c r="BC129" s="433"/>
      <c r="BD129" s="434"/>
      <c r="BE129" s="435"/>
      <c r="BF129" s="435">
        <f t="shared" si="140"/>
        <v>0</v>
      </c>
      <c r="BG129" s="159"/>
      <c r="BH129" s="275">
        <f t="shared" si="152"/>
        <v>0</v>
      </c>
      <c r="BI129" s="158"/>
      <c r="BJ129" s="275">
        <f t="shared" si="153"/>
        <v>0</v>
      </c>
      <c r="BK129" s="158"/>
      <c r="BL129" s="158">
        <f t="shared" si="141"/>
        <v>0</v>
      </c>
      <c r="BM129" s="155"/>
      <c r="BN129" s="147"/>
      <c r="BO129" s="473"/>
      <c r="BP129" s="433"/>
      <c r="BQ129" s="434"/>
      <c r="BR129" s="435"/>
      <c r="BS129" s="435">
        <f t="shared" si="142"/>
        <v>0</v>
      </c>
      <c r="BT129" s="156"/>
      <c r="BU129" s="473"/>
      <c r="BV129" s="433"/>
      <c r="BW129" s="434"/>
      <c r="BX129" s="435"/>
      <c r="BY129" s="435">
        <f t="shared" si="143"/>
        <v>0</v>
      </c>
      <c r="BZ129" s="156"/>
      <c r="CA129" s="473"/>
      <c r="CB129" s="433"/>
      <c r="CC129" s="434"/>
      <c r="CD129" s="435"/>
      <c r="CE129" s="435">
        <f t="shared" si="144"/>
        <v>0</v>
      </c>
      <c r="CF129" s="159"/>
      <c r="CG129" s="275">
        <f t="shared" si="154"/>
        <v>0</v>
      </c>
      <c r="CH129" s="158"/>
      <c r="CI129" s="275">
        <f t="shared" si="155"/>
        <v>0</v>
      </c>
      <c r="CJ129" s="158"/>
      <c r="CK129" s="158">
        <f t="shared" si="145"/>
        <v>0</v>
      </c>
      <c r="CL129" s="155"/>
      <c r="CM129" s="148"/>
      <c r="CN129" s="473"/>
      <c r="CO129" s="433"/>
      <c r="CP129" s="434"/>
      <c r="CQ129" s="435"/>
      <c r="CR129" s="435">
        <f t="shared" si="146"/>
        <v>0</v>
      </c>
      <c r="CS129" s="156"/>
      <c r="CT129" s="473"/>
      <c r="CU129" s="433"/>
      <c r="CV129" s="434"/>
      <c r="CW129" s="435"/>
      <c r="CX129" s="435">
        <f t="shared" si="147"/>
        <v>0</v>
      </c>
      <c r="CY129" s="156"/>
      <c r="CZ129" s="473"/>
      <c r="DA129" s="433"/>
      <c r="DB129" s="434"/>
      <c r="DC129" s="435"/>
      <c r="DD129" s="435">
        <f t="shared" si="148"/>
        <v>0</v>
      </c>
      <c r="DE129" s="159"/>
      <c r="DF129" s="275">
        <f t="shared" si="156"/>
        <v>0</v>
      </c>
      <c r="DG129" s="158"/>
      <c r="DH129" s="275">
        <f t="shared" si="157"/>
        <v>0</v>
      </c>
      <c r="DI129" s="158"/>
      <c r="DJ129" s="158">
        <f t="shared" si="149"/>
        <v>0</v>
      </c>
      <c r="DK129" s="32"/>
    </row>
    <row r="130" spans="1:115" s="3" customFormat="1" ht="21.75" customHeight="1" x14ac:dyDescent="0.25">
      <c r="A130" s="80">
        <v>121</v>
      </c>
      <c r="B130" s="552" t="s">
        <v>129</v>
      </c>
      <c r="C130" s="553"/>
      <c r="D130" s="553"/>
      <c r="E130" s="553"/>
      <c r="F130" s="553"/>
      <c r="G130" s="553"/>
      <c r="H130" s="553"/>
      <c r="I130" s="554"/>
      <c r="J130" s="310">
        <f>SUM(Q130,W130,AC130,AP130,AV130,BB130,BO130,BU130,CA130,CN130,CT130,CZ130)</f>
        <v>0</v>
      </c>
      <c r="K130" s="158"/>
      <c r="L130" s="310">
        <f>SUM(S130,Y130,AE130,AR130,AX130,BD130,BQ130,BW130,CC130,CP130,CV130,DB130)</f>
        <v>0</v>
      </c>
      <c r="M130" s="158"/>
      <c r="N130" s="158">
        <f>J130-L130</f>
        <v>0</v>
      </c>
      <c r="O130" s="70"/>
      <c r="P130" s="68"/>
      <c r="Q130" s="473"/>
      <c r="R130" s="433"/>
      <c r="S130" s="434"/>
      <c r="T130" s="435"/>
      <c r="U130" s="435">
        <f t="shared" si="133"/>
        <v>0</v>
      </c>
      <c r="V130" s="156"/>
      <c r="W130" s="473"/>
      <c r="X130" s="433"/>
      <c r="Y130" s="434"/>
      <c r="Z130" s="435"/>
      <c r="AA130" s="435">
        <f t="shared" si="134"/>
        <v>0</v>
      </c>
      <c r="AB130" s="156"/>
      <c r="AC130" s="473"/>
      <c r="AD130" s="433"/>
      <c r="AE130" s="434"/>
      <c r="AF130" s="435"/>
      <c r="AG130" s="435">
        <f t="shared" si="135"/>
        <v>0</v>
      </c>
      <c r="AH130" s="157">
        <f t="shared" si="136"/>
        <v>0</v>
      </c>
      <c r="AI130" s="275">
        <f t="shared" si="150"/>
        <v>0</v>
      </c>
      <c r="AJ130" s="158"/>
      <c r="AK130" s="275">
        <f t="shared" si="151"/>
        <v>0</v>
      </c>
      <c r="AL130" s="158"/>
      <c r="AM130" s="158">
        <f t="shared" si="137"/>
        <v>0</v>
      </c>
      <c r="AN130" s="156"/>
      <c r="AO130" s="147"/>
      <c r="AP130" s="473"/>
      <c r="AQ130" s="433"/>
      <c r="AR130" s="434"/>
      <c r="AS130" s="435"/>
      <c r="AT130" s="435">
        <f t="shared" si="138"/>
        <v>0</v>
      </c>
      <c r="AU130" s="156"/>
      <c r="AV130" s="473"/>
      <c r="AW130" s="433"/>
      <c r="AX130" s="434"/>
      <c r="AY130" s="435"/>
      <c r="AZ130" s="435">
        <f t="shared" si="139"/>
        <v>0</v>
      </c>
      <c r="BA130" s="156"/>
      <c r="BB130" s="473"/>
      <c r="BC130" s="433"/>
      <c r="BD130" s="434"/>
      <c r="BE130" s="435"/>
      <c r="BF130" s="435">
        <f t="shared" si="140"/>
        <v>0</v>
      </c>
      <c r="BG130" s="159"/>
      <c r="BH130" s="275">
        <f t="shared" si="152"/>
        <v>0</v>
      </c>
      <c r="BI130" s="158"/>
      <c r="BJ130" s="275">
        <f t="shared" si="153"/>
        <v>0</v>
      </c>
      <c r="BK130" s="158"/>
      <c r="BL130" s="158">
        <f t="shared" si="141"/>
        <v>0</v>
      </c>
      <c r="BM130" s="155"/>
      <c r="BN130" s="147"/>
      <c r="BO130" s="473"/>
      <c r="BP130" s="433"/>
      <c r="BQ130" s="434"/>
      <c r="BR130" s="435"/>
      <c r="BS130" s="435">
        <f t="shared" si="142"/>
        <v>0</v>
      </c>
      <c r="BT130" s="156"/>
      <c r="BU130" s="473"/>
      <c r="BV130" s="433"/>
      <c r="BW130" s="434"/>
      <c r="BX130" s="435"/>
      <c r="BY130" s="435">
        <f t="shared" si="143"/>
        <v>0</v>
      </c>
      <c r="BZ130" s="156"/>
      <c r="CA130" s="473"/>
      <c r="CB130" s="433"/>
      <c r="CC130" s="434"/>
      <c r="CD130" s="435"/>
      <c r="CE130" s="435">
        <f t="shared" si="144"/>
        <v>0</v>
      </c>
      <c r="CF130" s="159"/>
      <c r="CG130" s="275">
        <f t="shared" si="154"/>
        <v>0</v>
      </c>
      <c r="CH130" s="158"/>
      <c r="CI130" s="275">
        <f t="shared" si="155"/>
        <v>0</v>
      </c>
      <c r="CJ130" s="158"/>
      <c r="CK130" s="158">
        <f t="shared" si="145"/>
        <v>0</v>
      </c>
      <c r="CL130" s="155"/>
      <c r="CM130" s="148"/>
      <c r="CN130" s="473"/>
      <c r="CO130" s="433"/>
      <c r="CP130" s="434"/>
      <c r="CQ130" s="435"/>
      <c r="CR130" s="435">
        <f t="shared" si="146"/>
        <v>0</v>
      </c>
      <c r="CS130" s="156"/>
      <c r="CT130" s="473"/>
      <c r="CU130" s="433"/>
      <c r="CV130" s="434"/>
      <c r="CW130" s="435"/>
      <c r="CX130" s="435">
        <f t="shared" si="147"/>
        <v>0</v>
      </c>
      <c r="CY130" s="156"/>
      <c r="CZ130" s="473"/>
      <c r="DA130" s="433"/>
      <c r="DB130" s="434"/>
      <c r="DC130" s="435"/>
      <c r="DD130" s="435">
        <f t="shared" si="148"/>
        <v>0</v>
      </c>
      <c r="DE130" s="159"/>
      <c r="DF130" s="275">
        <f t="shared" si="156"/>
        <v>0</v>
      </c>
      <c r="DG130" s="158"/>
      <c r="DH130" s="275">
        <f t="shared" si="157"/>
        <v>0</v>
      </c>
      <c r="DI130" s="158"/>
      <c r="DJ130" s="158">
        <f t="shared" si="149"/>
        <v>0</v>
      </c>
      <c r="DK130" s="32"/>
    </row>
    <row r="131" spans="1:115" s="3" customFormat="1" ht="21.75" customHeight="1" thickBot="1" x14ac:dyDescent="0.3">
      <c r="A131" s="80">
        <v>122</v>
      </c>
      <c r="B131" s="542" t="s">
        <v>130</v>
      </c>
      <c r="C131" s="543"/>
      <c r="D131" s="543"/>
      <c r="E131" s="543"/>
      <c r="F131" s="543"/>
      <c r="G131" s="543"/>
      <c r="H131" s="543"/>
      <c r="I131" s="544"/>
      <c r="J131" s="311">
        <f>SUM(Q131,W131,AC131,AP131,AV131,BB131,BO131,BU131,CA131,CN131,CT131,CZ131)</f>
        <v>0</v>
      </c>
      <c r="K131" s="163"/>
      <c r="L131" s="311">
        <f>SUM(S131,Y131,AE131,AR131,AX131,BD131,BQ131,BW131,CC131,CP131,CV131,DB131)</f>
        <v>0</v>
      </c>
      <c r="M131" s="163"/>
      <c r="N131" s="163">
        <f>J131-L131</f>
        <v>0</v>
      </c>
      <c r="O131" s="71"/>
      <c r="P131" s="68"/>
      <c r="Q131" s="474"/>
      <c r="R131" s="436"/>
      <c r="S131" s="437"/>
      <c r="T131" s="438"/>
      <c r="U131" s="438">
        <f t="shared" si="133"/>
        <v>0</v>
      </c>
      <c r="V131" s="161"/>
      <c r="W131" s="474"/>
      <c r="X131" s="436"/>
      <c r="Y131" s="437"/>
      <c r="Z131" s="438"/>
      <c r="AA131" s="438">
        <f t="shared" si="134"/>
        <v>0</v>
      </c>
      <c r="AB131" s="161"/>
      <c r="AC131" s="474"/>
      <c r="AD131" s="436"/>
      <c r="AE131" s="437"/>
      <c r="AF131" s="438"/>
      <c r="AG131" s="438">
        <f t="shared" si="135"/>
        <v>0</v>
      </c>
      <c r="AH131" s="162">
        <f t="shared" si="136"/>
        <v>0</v>
      </c>
      <c r="AI131" s="277">
        <f t="shared" si="150"/>
        <v>0</v>
      </c>
      <c r="AJ131" s="163"/>
      <c r="AK131" s="277">
        <f t="shared" si="151"/>
        <v>0</v>
      </c>
      <c r="AL131" s="163"/>
      <c r="AM131" s="163">
        <f t="shared" si="137"/>
        <v>0</v>
      </c>
      <c r="AN131" s="161"/>
      <c r="AO131" s="147"/>
      <c r="AP131" s="474"/>
      <c r="AQ131" s="436"/>
      <c r="AR131" s="437"/>
      <c r="AS131" s="438"/>
      <c r="AT131" s="438">
        <f t="shared" si="138"/>
        <v>0</v>
      </c>
      <c r="AU131" s="161"/>
      <c r="AV131" s="474"/>
      <c r="AW131" s="436"/>
      <c r="AX131" s="437"/>
      <c r="AY131" s="438"/>
      <c r="AZ131" s="438">
        <f t="shared" si="139"/>
        <v>0</v>
      </c>
      <c r="BA131" s="161"/>
      <c r="BB131" s="474"/>
      <c r="BC131" s="436"/>
      <c r="BD131" s="437"/>
      <c r="BE131" s="438"/>
      <c r="BF131" s="438">
        <f t="shared" si="140"/>
        <v>0</v>
      </c>
      <c r="BG131" s="164"/>
      <c r="BH131" s="277">
        <f t="shared" si="152"/>
        <v>0</v>
      </c>
      <c r="BI131" s="163"/>
      <c r="BJ131" s="277">
        <f t="shared" si="153"/>
        <v>0</v>
      </c>
      <c r="BK131" s="163"/>
      <c r="BL131" s="163">
        <f t="shared" si="141"/>
        <v>0</v>
      </c>
      <c r="BM131" s="160"/>
      <c r="BN131" s="147"/>
      <c r="BO131" s="474"/>
      <c r="BP131" s="436"/>
      <c r="BQ131" s="437"/>
      <c r="BR131" s="438"/>
      <c r="BS131" s="438">
        <f t="shared" si="142"/>
        <v>0</v>
      </c>
      <c r="BT131" s="161"/>
      <c r="BU131" s="474"/>
      <c r="BV131" s="436"/>
      <c r="BW131" s="437"/>
      <c r="BX131" s="438"/>
      <c r="BY131" s="438">
        <f t="shared" si="143"/>
        <v>0</v>
      </c>
      <c r="BZ131" s="161"/>
      <c r="CA131" s="474"/>
      <c r="CB131" s="436"/>
      <c r="CC131" s="437"/>
      <c r="CD131" s="438"/>
      <c r="CE131" s="438">
        <f t="shared" si="144"/>
        <v>0</v>
      </c>
      <c r="CF131" s="164"/>
      <c r="CG131" s="277">
        <f t="shared" si="154"/>
        <v>0</v>
      </c>
      <c r="CH131" s="163"/>
      <c r="CI131" s="277">
        <f t="shared" si="155"/>
        <v>0</v>
      </c>
      <c r="CJ131" s="163"/>
      <c r="CK131" s="163">
        <f t="shared" si="145"/>
        <v>0</v>
      </c>
      <c r="CL131" s="160"/>
      <c r="CM131" s="148"/>
      <c r="CN131" s="474"/>
      <c r="CO131" s="436"/>
      <c r="CP131" s="437"/>
      <c r="CQ131" s="438"/>
      <c r="CR131" s="438">
        <f t="shared" si="146"/>
        <v>0</v>
      </c>
      <c r="CS131" s="161"/>
      <c r="CT131" s="474"/>
      <c r="CU131" s="436"/>
      <c r="CV131" s="437"/>
      <c r="CW131" s="438"/>
      <c r="CX131" s="438">
        <f t="shared" si="147"/>
        <v>0</v>
      </c>
      <c r="CY131" s="161"/>
      <c r="CZ131" s="474"/>
      <c r="DA131" s="436"/>
      <c r="DB131" s="437"/>
      <c r="DC131" s="438"/>
      <c r="DD131" s="438">
        <f t="shared" si="148"/>
        <v>0</v>
      </c>
      <c r="DE131" s="164"/>
      <c r="DF131" s="277">
        <f t="shared" si="156"/>
        <v>0</v>
      </c>
      <c r="DG131" s="163"/>
      <c r="DH131" s="277">
        <f t="shared" si="157"/>
        <v>0</v>
      </c>
      <c r="DI131" s="163"/>
      <c r="DJ131" s="163">
        <f t="shared" si="149"/>
        <v>0</v>
      </c>
      <c r="DK131" s="34"/>
    </row>
    <row r="132" spans="1:115" s="3" customFormat="1" ht="21.75" customHeight="1" thickBot="1" x14ac:dyDescent="0.5">
      <c r="A132" s="80">
        <v>123</v>
      </c>
      <c r="B132" s="545" t="s">
        <v>131</v>
      </c>
      <c r="C132" s="545"/>
      <c r="D132" s="545"/>
      <c r="E132" s="545"/>
      <c r="F132" s="545"/>
      <c r="G132" s="545"/>
      <c r="H132" s="545"/>
      <c r="I132" s="545"/>
      <c r="J132" s="149"/>
      <c r="K132" s="149"/>
      <c r="L132" s="149"/>
      <c r="M132" s="149"/>
      <c r="N132" s="149"/>
      <c r="O132" s="68"/>
      <c r="P132" s="68"/>
      <c r="Q132" s="428"/>
      <c r="R132" s="428"/>
      <c r="S132" s="428"/>
      <c r="T132" s="428"/>
      <c r="U132" s="428"/>
      <c r="V132" s="149"/>
      <c r="W132" s="428"/>
      <c r="X132" s="428"/>
      <c r="Y132" s="428"/>
      <c r="Z132" s="428"/>
      <c r="AA132" s="428"/>
      <c r="AB132" s="149"/>
      <c r="AC132" s="428"/>
      <c r="AD132" s="428"/>
      <c r="AE132" s="428"/>
      <c r="AF132" s="428"/>
      <c r="AG132" s="428"/>
      <c r="AH132" s="149"/>
      <c r="AI132" s="149"/>
      <c r="AJ132" s="149"/>
      <c r="AK132" s="149"/>
      <c r="AL132" s="149"/>
      <c r="AM132" s="149"/>
      <c r="AN132" s="149"/>
      <c r="AO132" s="147"/>
      <c r="AP132" s="428"/>
      <c r="AQ132" s="428"/>
      <c r="AR132" s="428"/>
      <c r="AS132" s="428"/>
      <c r="AT132" s="428"/>
      <c r="AU132" s="149"/>
      <c r="AV132" s="428"/>
      <c r="AW132" s="428"/>
      <c r="AX132" s="428"/>
      <c r="AY132" s="428"/>
      <c r="AZ132" s="428"/>
      <c r="BA132" s="149"/>
      <c r="BB132" s="428"/>
      <c r="BC132" s="428"/>
      <c r="BD132" s="428"/>
      <c r="BE132" s="428"/>
      <c r="BF132" s="428"/>
      <c r="BG132" s="149"/>
      <c r="BH132" s="149"/>
      <c r="BI132" s="149"/>
      <c r="BJ132" s="149"/>
      <c r="BK132" s="149"/>
      <c r="BL132" s="149"/>
      <c r="BM132" s="149"/>
      <c r="BN132" s="147"/>
      <c r="BO132" s="428"/>
      <c r="BP132" s="428"/>
      <c r="BQ132" s="428"/>
      <c r="BR132" s="428"/>
      <c r="BS132" s="428"/>
      <c r="BT132" s="149"/>
      <c r="BU132" s="428"/>
      <c r="BV132" s="428"/>
      <c r="BW132" s="428"/>
      <c r="BX132" s="428"/>
      <c r="BY132" s="428"/>
      <c r="BZ132" s="149"/>
      <c r="CA132" s="428"/>
      <c r="CB132" s="428"/>
      <c r="CC132" s="428"/>
      <c r="CD132" s="428"/>
      <c r="CE132" s="428"/>
      <c r="CF132" s="149"/>
      <c r="CG132" s="149"/>
      <c r="CH132" s="149"/>
      <c r="CI132" s="149"/>
      <c r="CJ132" s="149"/>
      <c r="CK132" s="149"/>
      <c r="CL132" s="149"/>
      <c r="CM132" s="148"/>
      <c r="CN132" s="428"/>
      <c r="CO132" s="428"/>
      <c r="CP132" s="428"/>
      <c r="CQ132" s="428"/>
      <c r="CR132" s="428"/>
      <c r="CS132" s="149"/>
      <c r="CT132" s="428"/>
      <c r="CU132" s="428"/>
      <c r="CV132" s="428"/>
      <c r="CW132" s="428"/>
      <c r="CX132" s="428"/>
      <c r="CY132" s="149"/>
      <c r="CZ132" s="428"/>
      <c r="DA132" s="428"/>
      <c r="DB132" s="428"/>
      <c r="DC132" s="428"/>
      <c r="DD132" s="428"/>
      <c r="DE132" s="149"/>
      <c r="DF132" s="149"/>
      <c r="DG132" s="149"/>
      <c r="DH132" s="149"/>
      <c r="DI132" s="149"/>
      <c r="DJ132" s="149"/>
      <c r="DK132" s="29"/>
    </row>
    <row r="133" spans="1:115" s="3" customFormat="1" ht="21.75" customHeight="1" x14ac:dyDescent="0.25">
      <c r="A133" s="80">
        <v>124</v>
      </c>
      <c r="B133" s="564" t="s">
        <v>132</v>
      </c>
      <c r="C133" s="565"/>
      <c r="D133" s="565"/>
      <c r="E133" s="565"/>
      <c r="F133" s="565"/>
      <c r="G133" s="565"/>
      <c r="H133" s="565"/>
      <c r="I133" s="566"/>
      <c r="J133" s="183" t="str">
        <f>IF(ISERROR(J96/J118),"",J96/J118)</f>
        <v/>
      </c>
      <c r="K133" s="183"/>
      <c r="L133" s="183" t="str">
        <f>IF(ISERROR(L96/L118),"",L96/L118)</f>
        <v/>
      </c>
      <c r="M133" s="183"/>
      <c r="N133" s="183"/>
      <c r="O133" s="184"/>
      <c r="P133" s="185"/>
      <c r="Q133" s="439" t="str">
        <f>IF(ISERROR(Q96/Q118),"",Q96/Q118)</f>
        <v/>
      </c>
      <c r="R133" s="440"/>
      <c r="S133" s="441" t="str">
        <f>IF(ISERROR(S96/S118),"",S96/S118)</f>
        <v/>
      </c>
      <c r="T133" s="441"/>
      <c r="U133" s="441"/>
      <c r="V133" s="187"/>
      <c r="W133" s="439" t="str">
        <f>IF(ISERROR(W96/W118),"",W96/W118)</f>
        <v/>
      </c>
      <c r="X133" s="440"/>
      <c r="Y133" s="441" t="str">
        <f>IF(ISERROR(Y96/Y118),"",Y96/Y118)</f>
        <v/>
      </c>
      <c r="Z133" s="441"/>
      <c r="AA133" s="441"/>
      <c r="AB133" s="187"/>
      <c r="AC133" s="439" t="str">
        <f>IF(ISERROR(AC96/AC118),"",AC96/AC118)</f>
        <v/>
      </c>
      <c r="AD133" s="440"/>
      <c r="AE133" s="441" t="str">
        <f>IF(ISERROR(AE96/AE118),"",AE96/AE118)</f>
        <v/>
      </c>
      <c r="AF133" s="441"/>
      <c r="AG133" s="441"/>
      <c r="AH133" s="188" t="e">
        <f>AE133-AF133</f>
        <v>#VALUE!</v>
      </c>
      <c r="AI133" s="331" t="str">
        <f>IF(ISERROR(AI96/AI118),"",AI96/AI118)</f>
        <v/>
      </c>
      <c r="AJ133" s="338"/>
      <c r="AK133" s="183" t="str">
        <f>IF(ISERROR(AK96/AK118),"",AK96/AK118)</f>
        <v/>
      </c>
      <c r="AL133" s="183"/>
      <c r="AM133" s="183"/>
      <c r="AN133" s="187"/>
      <c r="AO133" s="189"/>
      <c r="AP133" s="439" t="str">
        <f>IF(ISERROR(AP96/AP118),"",AP96/AP118)</f>
        <v/>
      </c>
      <c r="AQ133" s="440"/>
      <c r="AR133" s="441" t="str">
        <f>IF(ISERROR(AR96/AR118),"",AR96/AR118)</f>
        <v/>
      </c>
      <c r="AS133" s="441"/>
      <c r="AT133" s="441"/>
      <c r="AU133" s="187"/>
      <c r="AV133" s="439" t="str">
        <f>IF(ISERROR(AV96/AV118),"",AV96/AV118)</f>
        <v/>
      </c>
      <c r="AW133" s="440"/>
      <c r="AX133" s="441" t="str">
        <f>IF(ISERROR(AX96/AX118),"",AX96/AX118)</f>
        <v/>
      </c>
      <c r="AY133" s="441"/>
      <c r="AZ133" s="441"/>
      <c r="BA133" s="187"/>
      <c r="BB133" s="439" t="str">
        <f>IF(ISERROR(BB96/BB118),"",BB96/BB118)</f>
        <v/>
      </c>
      <c r="BC133" s="440"/>
      <c r="BD133" s="441" t="str">
        <f>IF(ISERROR(BD96/BD118),"",BD96/BD118)</f>
        <v/>
      </c>
      <c r="BE133" s="441"/>
      <c r="BF133" s="441"/>
      <c r="BG133" s="190"/>
      <c r="BH133" s="331" t="str">
        <f>IF(ISERROR(BH96/BH118),"",BH96/BH118)</f>
        <v/>
      </c>
      <c r="BI133" s="338"/>
      <c r="BJ133" s="183" t="str">
        <f>IF(ISERROR(BJ96/BJ118),"",BJ96/BJ118)</f>
        <v/>
      </c>
      <c r="BK133" s="183"/>
      <c r="BL133" s="183"/>
      <c r="BM133" s="186"/>
      <c r="BN133" s="189"/>
      <c r="BO133" s="439" t="str">
        <f>IF(ISERROR(BO96/BO118),"",BO96/BO118)</f>
        <v/>
      </c>
      <c r="BP133" s="440"/>
      <c r="BQ133" s="441" t="str">
        <f>IF(ISERROR(BQ96/BQ118),"",BQ96/BQ118)</f>
        <v/>
      </c>
      <c r="BR133" s="441"/>
      <c r="BS133" s="441"/>
      <c r="BT133" s="187"/>
      <c r="BU133" s="439" t="str">
        <f>IF(ISERROR(BU96/BU118),"",BU96/BU118)</f>
        <v/>
      </c>
      <c r="BV133" s="440"/>
      <c r="BW133" s="441" t="str">
        <f>IF(ISERROR(BW96/BW118),"",BW96/BW118)</f>
        <v/>
      </c>
      <c r="BX133" s="441"/>
      <c r="BY133" s="441"/>
      <c r="BZ133" s="187"/>
      <c r="CA133" s="439" t="str">
        <f>IF(ISERROR(CA96/CA118),"",CA96/CA118)</f>
        <v/>
      </c>
      <c r="CB133" s="440"/>
      <c r="CC133" s="441" t="str">
        <f>IF(ISERROR(CC96/CC118),"",CC96/CC118)</f>
        <v/>
      </c>
      <c r="CD133" s="441"/>
      <c r="CE133" s="441"/>
      <c r="CF133" s="187"/>
      <c r="CG133" s="331" t="str">
        <f>IF(ISERROR(CG96/CG118),"",CG96/CG118)</f>
        <v/>
      </c>
      <c r="CH133" s="338"/>
      <c r="CI133" s="183" t="str">
        <f>IF(ISERROR(CI96/CI118),"",CI96/CI118)</f>
        <v/>
      </c>
      <c r="CJ133" s="183"/>
      <c r="CK133" s="183"/>
      <c r="CL133" s="186"/>
      <c r="CM133" s="191"/>
      <c r="CN133" s="439" t="str">
        <f>IF(ISERROR(CN96/CN118),"",CN96/CN118)</f>
        <v/>
      </c>
      <c r="CO133" s="440"/>
      <c r="CP133" s="441" t="str">
        <f>IF(ISERROR(CP96/CP118),"",CP96/CP118)</f>
        <v/>
      </c>
      <c r="CQ133" s="441"/>
      <c r="CR133" s="441"/>
      <c r="CS133" s="187"/>
      <c r="CT133" s="439" t="str">
        <f>IF(ISERROR(CT96/CT118),"",CT96/CT118)</f>
        <v/>
      </c>
      <c r="CU133" s="440"/>
      <c r="CV133" s="441" t="str">
        <f>IF(ISERROR(CV96/CV118),"",CV96/CV118)</f>
        <v/>
      </c>
      <c r="CW133" s="441"/>
      <c r="CX133" s="441"/>
      <c r="CY133" s="187"/>
      <c r="CZ133" s="439" t="str">
        <f>IF(ISERROR(CZ96/CZ118),"",CZ96/CZ118)</f>
        <v/>
      </c>
      <c r="DA133" s="440"/>
      <c r="DB133" s="441" t="str">
        <f>IF(ISERROR(DB96/DB118),"",DB96/DB118)</f>
        <v/>
      </c>
      <c r="DC133" s="441"/>
      <c r="DD133" s="441"/>
      <c r="DE133" s="190"/>
      <c r="DF133" s="331" t="str">
        <f>IF(ISERROR(DF96/DF118),"",DF96/DF118)</f>
        <v/>
      </c>
      <c r="DG133" s="338"/>
      <c r="DH133" s="183" t="str">
        <f>IF(ISERROR(DH96/DH118),"",DH96/DH118)</f>
        <v/>
      </c>
      <c r="DI133" s="183"/>
      <c r="DJ133" s="183"/>
      <c r="DK133" s="30"/>
    </row>
    <row r="134" spans="1:115" s="3" customFormat="1" ht="21.75" customHeight="1" x14ac:dyDescent="0.25">
      <c r="A134" s="80">
        <v>125</v>
      </c>
      <c r="B134" s="552" t="s">
        <v>157</v>
      </c>
      <c r="C134" s="553"/>
      <c r="D134" s="553"/>
      <c r="E134" s="553"/>
      <c r="F134" s="553"/>
      <c r="G134" s="553"/>
      <c r="H134" s="553"/>
      <c r="I134" s="554"/>
      <c r="J134" s="192" t="str">
        <f>IF(ISERROR(J67/J16),"",J67/J16)</f>
        <v/>
      </c>
      <c r="K134" s="192"/>
      <c r="L134" s="192" t="str">
        <f>IF(ISERROR(L67/L16),"",L67/L16)</f>
        <v/>
      </c>
      <c r="M134" s="192"/>
      <c r="N134" s="192"/>
      <c r="O134" s="193"/>
      <c r="P134" s="185"/>
      <c r="Q134" s="442" t="str">
        <f>IF(ISERROR(Q67/Q16),"",Q67/Q16)</f>
        <v/>
      </c>
      <c r="R134" s="443"/>
      <c r="S134" s="444" t="str">
        <f>IF(ISERROR(S67/S16),"",S67/S16)</f>
        <v/>
      </c>
      <c r="T134" s="444"/>
      <c r="U134" s="444"/>
      <c r="V134" s="195"/>
      <c r="W134" s="442" t="str">
        <f>IF(ISERROR(W67/W16),"",W67/W16)</f>
        <v/>
      </c>
      <c r="X134" s="443"/>
      <c r="Y134" s="444" t="str">
        <f>IF(ISERROR(Y67/Y16),"",Y67/Y16)</f>
        <v/>
      </c>
      <c r="Z134" s="444"/>
      <c r="AA134" s="444"/>
      <c r="AB134" s="195"/>
      <c r="AC134" s="442" t="str">
        <f>IF(ISERROR(AC67/AC16),"",AC67/AC16)</f>
        <v/>
      </c>
      <c r="AD134" s="443"/>
      <c r="AE134" s="444" t="str">
        <f>IF(ISERROR(AE67/AE16),"",AE67/AE16)</f>
        <v/>
      </c>
      <c r="AF134" s="444"/>
      <c r="AG134" s="444"/>
      <c r="AH134" s="196" t="e">
        <f>AE134-AF134</f>
        <v>#VALUE!</v>
      </c>
      <c r="AI134" s="329" t="str">
        <f>IF(ISERROR(AI67/AI16),"",AI67/AI16)</f>
        <v/>
      </c>
      <c r="AJ134" s="339"/>
      <c r="AK134" s="192" t="str">
        <f>IF(ISERROR(AK67/AK16),"",AK67/AK16)</f>
        <v/>
      </c>
      <c r="AL134" s="192"/>
      <c r="AM134" s="192"/>
      <c r="AN134" s="195"/>
      <c r="AO134" s="189"/>
      <c r="AP134" s="442" t="str">
        <f>IF(ISERROR(AP67/AP16),"",AP67/AP16)</f>
        <v/>
      </c>
      <c r="AQ134" s="443"/>
      <c r="AR134" s="444" t="str">
        <f>IF(ISERROR(AR67/AR16),"",AR67/AR16)</f>
        <v/>
      </c>
      <c r="AS134" s="444"/>
      <c r="AT134" s="444"/>
      <c r="AU134" s="195"/>
      <c r="AV134" s="442" t="str">
        <f>IF(ISERROR(AV67/AV16),"",AV67/AV16)</f>
        <v/>
      </c>
      <c r="AW134" s="443"/>
      <c r="AX134" s="444" t="str">
        <f>IF(ISERROR(AX67/AX16),"",AX67/AX16)</f>
        <v/>
      </c>
      <c r="AY134" s="444"/>
      <c r="AZ134" s="444"/>
      <c r="BA134" s="195"/>
      <c r="BB134" s="442" t="str">
        <f>IF(ISERROR(BB67/BB16),"",BB67/BB16)</f>
        <v/>
      </c>
      <c r="BC134" s="443"/>
      <c r="BD134" s="444" t="str">
        <f>IF(ISERROR(BD67/BD16),"",BD67/BD16)</f>
        <v/>
      </c>
      <c r="BE134" s="444"/>
      <c r="BF134" s="444"/>
      <c r="BG134" s="197"/>
      <c r="BH134" s="329" t="str">
        <f>IF(ISERROR(BH67/BH16),"",BH67/BH16)</f>
        <v/>
      </c>
      <c r="BI134" s="339"/>
      <c r="BJ134" s="192" t="str">
        <f>IF(ISERROR(BJ67/BJ16),"",BJ67/BJ16)</f>
        <v/>
      </c>
      <c r="BK134" s="192"/>
      <c r="BL134" s="192"/>
      <c r="BM134" s="194"/>
      <c r="BN134" s="189"/>
      <c r="BO134" s="442" t="str">
        <f>IF(ISERROR(BO67/BO16),"",BO67/BO16)</f>
        <v/>
      </c>
      <c r="BP134" s="443"/>
      <c r="BQ134" s="444" t="str">
        <f>IF(ISERROR(BQ67/BQ16),"",BQ67/BQ16)</f>
        <v/>
      </c>
      <c r="BR134" s="444"/>
      <c r="BS134" s="444"/>
      <c r="BT134" s="195"/>
      <c r="BU134" s="442" t="str">
        <f>IF(ISERROR(BU67/BU16),"",BU67/BU16)</f>
        <v/>
      </c>
      <c r="BV134" s="443"/>
      <c r="BW134" s="444" t="str">
        <f>IF(ISERROR(BW67/BW16),"",BW67/BW16)</f>
        <v/>
      </c>
      <c r="BX134" s="444"/>
      <c r="BY134" s="444"/>
      <c r="BZ134" s="195"/>
      <c r="CA134" s="442" t="str">
        <f>IF(ISERROR(CA67/CA16),"",CA67/CA16)</f>
        <v/>
      </c>
      <c r="CB134" s="443"/>
      <c r="CC134" s="444" t="str">
        <f>IF(ISERROR(CC67/CC16),"",CC67/CC16)</f>
        <v/>
      </c>
      <c r="CD134" s="444"/>
      <c r="CE134" s="444"/>
      <c r="CF134" s="195"/>
      <c r="CG134" s="329" t="str">
        <f>IF(ISERROR(CG67/CG16),"",CG67/CG16)</f>
        <v/>
      </c>
      <c r="CH134" s="339"/>
      <c r="CI134" s="192" t="str">
        <f>IF(ISERROR(CI67/CI16),"",CI67/CI16)</f>
        <v/>
      </c>
      <c r="CJ134" s="192"/>
      <c r="CK134" s="192"/>
      <c r="CL134" s="194"/>
      <c r="CM134" s="191"/>
      <c r="CN134" s="442" t="str">
        <f>IF(ISERROR(CN67/CN16),"",CN67/CN16)</f>
        <v/>
      </c>
      <c r="CO134" s="443"/>
      <c r="CP134" s="444" t="str">
        <f>IF(ISERROR(CP67/CP16),"",CP67/CP16)</f>
        <v/>
      </c>
      <c r="CQ134" s="444"/>
      <c r="CR134" s="444"/>
      <c r="CS134" s="195"/>
      <c r="CT134" s="442" t="str">
        <f>IF(ISERROR(CT67/CT16),"",CT67/CT16)</f>
        <v/>
      </c>
      <c r="CU134" s="443"/>
      <c r="CV134" s="444" t="str">
        <f>IF(ISERROR(CV67/CV16),"",CV67/CV16)</f>
        <v/>
      </c>
      <c r="CW134" s="444"/>
      <c r="CX134" s="444"/>
      <c r="CY134" s="195"/>
      <c r="CZ134" s="442" t="str">
        <f>IF(ISERROR(CZ67/CZ16),"",CZ67/CZ16)</f>
        <v/>
      </c>
      <c r="DA134" s="443"/>
      <c r="DB134" s="444" t="str">
        <f>IF(ISERROR(DB67/DB16),"",DB67/DB16)</f>
        <v/>
      </c>
      <c r="DC134" s="444"/>
      <c r="DD134" s="444"/>
      <c r="DE134" s="197"/>
      <c r="DF134" s="329" t="str">
        <f>IF(ISERROR(DF67/DF16),"",DF67/DF16)</f>
        <v/>
      </c>
      <c r="DG134" s="339"/>
      <c r="DH134" s="192" t="str">
        <f>IF(ISERROR(DH67/DH16),"",DH67/DH16)</f>
        <v/>
      </c>
      <c r="DI134" s="192"/>
      <c r="DJ134" s="192"/>
      <c r="DK134" s="32"/>
    </row>
    <row r="135" spans="1:115" s="3" customFormat="1" ht="21.75" customHeight="1" x14ac:dyDescent="0.25">
      <c r="A135" s="80">
        <v>126</v>
      </c>
      <c r="B135" s="552" t="s">
        <v>133</v>
      </c>
      <c r="C135" s="553"/>
      <c r="D135" s="553"/>
      <c r="E135" s="553"/>
      <c r="F135" s="553"/>
      <c r="G135" s="553"/>
      <c r="H135" s="553"/>
      <c r="I135" s="554"/>
      <c r="J135" s="192" t="str">
        <f>IF(ISERROR(J18/J17),"",J18/J17)</f>
        <v/>
      </c>
      <c r="K135" s="192"/>
      <c r="L135" s="192" t="str">
        <f>IF(ISERROR(L18/L17),"",L18/L17)</f>
        <v/>
      </c>
      <c r="M135" s="192"/>
      <c r="N135" s="192"/>
      <c r="O135" s="193"/>
      <c r="P135" s="185"/>
      <c r="Q135" s="442" t="str">
        <f>IF(ISERROR(Q18/Q17),"",Q18/Q17)</f>
        <v/>
      </c>
      <c r="R135" s="443"/>
      <c r="S135" s="444" t="str">
        <f>IF(ISERROR(S18/S17),"",S18/S17)</f>
        <v/>
      </c>
      <c r="T135" s="444"/>
      <c r="U135" s="444"/>
      <c r="V135" s="195"/>
      <c r="W135" s="442" t="str">
        <f>IF(ISERROR(W18/W17),"",W18/W17)</f>
        <v/>
      </c>
      <c r="X135" s="443"/>
      <c r="Y135" s="444" t="str">
        <f>IF(ISERROR(Y18/Y17),"",Y18/Y17)</f>
        <v/>
      </c>
      <c r="Z135" s="444"/>
      <c r="AA135" s="444"/>
      <c r="AB135" s="195"/>
      <c r="AC135" s="442" t="str">
        <f>IF(ISERROR(AC18/AC17),"",AC18/AC17)</f>
        <v/>
      </c>
      <c r="AD135" s="443"/>
      <c r="AE135" s="444" t="str">
        <f>IF(ISERROR(AE18/AE17),"",AE18/AE17)</f>
        <v/>
      </c>
      <c r="AF135" s="444"/>
      <c r="AG135" s="444"/>
      <c r="AH135" s="196" t="e">
        <f>AE135-AF135</f>
        <v>#VALUE!</v>
      </c>
      <c r="AI135" s="329" t="str">
        <f>IF(ISERROR(AI18/AI17),"",AI18/AI17)</f>
        <v/>
      </c>
      <c r="AJ135" s="339"/>
      <c r="AK135" s="192" t="str">
        <f>IF(ISERROR(AK18/AK17),"",AK18/AK17)</f>
        <v/>
      </c>
      <c r="AL135" s="192"/>
      <c r="AM135" s="192"/>
      <c r="AN135" s="195"/>
      <c r="AO135" s="189"/>
      <c r="AP135" s="442" t="str">
        <f>IF(ISERROR(AP18/AP17),"",AP18/AP17)</f>
        <v/>
      </c>
      <c r="AQ135" s="443"/>
      <c r="AR135" s="444" t="str">
        <f>IF(ISERROR(AR18/AR17),"",AR18/AR17)</f>
        <v/>
      </c>
      <c r="AS135" s="444"/>
      <c r="AT135" s="444"/>
      <c r="AU135" s="195"/>
      <c r="AV135" s="442" t="str">
        <f>IF(ISERROR(AV18/AV17),"",AV18/AV17)</f>
        <v/>
      </c>
      <c r="AW135" s="443"/>
      <c r="AX135" s="444" t="str">
        <f>IF(ISERROR(AX18/AX17),"",AX18/AX17)</f>
        <v/>
      </c>
      <c r="AY135" s="444"/>
      <c r="AZ135" s="444"/>
      <c r="BA135" s="195"/>
      <c r="BB135" s="442" t="str">
        <f>IF(ISERROR(BB18/BB17),"",BB18/BB17)</f>
        <v/>
      </c>
      <c r="BC135" s="443"/>
      <c r="BD135" s="444" t="str">
        <f>IF(ISERROR(BD18/BD17),"",BD18/BD17)</f>
        <v/>
      </c>
      <c r="BE135" s="444"/>
      <c r="BF135" s="444"/>
      <c r="BG135" s="197"/>
      <c r="BH135" s="329" t="str">
        <f>IF(ISERROR(BH18/BH17),"",BH18/BH17)</f>
        <v/>
      </c>
      <c r="BI135" s="339"/>
      <c r="BJ135" s="192" t="str">
        <f>IF(ISERROR(BJ18/BJ17),"",BJ18/BJ17)</f>
        <v/>
      </c>
      <c r="BK135" s="192"/>
      <c r="BL135" s="192"/>
      <c r="BM135" s="194"/>
      <c r="BN135" s="189"/>
      <c r="BO135" s="442" t="str">
        <f>IF(ISERROR(BO18/BO17),"",BO18/BO17)</f>
        <v/>
      </c>
      <c r="BP135" s="443"/>
      <c r="BQ135" s="444" t="str">
        <f>IF(ISERROR(BQ18/BQ17),"",BQ18/BQ17)</f>
        <v/>
      </c>
      <c r="BR135" s="444"/>
      <c r="BS135" s="444"/>
      <c r="BT135" s="195"/>
      <c r="BU135" s="442" t="str">
        <f>IF(ISERROR(BU18/BU17),"",BU18/BU17)</f>
        <v/>
      </c>
      <c r="BV135" s="443"/>
      <c r="BW135" s="444" t="str">
        <f>IF(ISERROR(BW18/BW17),"",BW18/BW17)</f>
        <v/>
      </c>
      <c r="BX135" s="444"/>
      <c r="BY135" s="444"/>
      <c r="BZ135" s="195"/>
      <c r="CA135" s="442" t="str">
        <f>IF(ISERROR(CA18/CA17),"",CA18/CA17)</f>
        <v/>
      </c>
      <c r="CB135" s="443"/>
      <c r="CC135" s="444" t="str">
        <f>IF(ISERROR(CC18/CC17),"",CC18/CC17)</f>
        <v/>
      </c>
      <c r="CD135" s="444"/>
      <c r="CE135" s="444"/>
      <c r="CF135" s="195"/>
      <c r="CG135" s="329" t="str">
        <f>IF(ISERROR(CG18/CG17),"",CG18/CG17)</f>
        <v/>
      </c>
      <c r="CH135" s="339"/>
      <c r="CI135" s="192" t="str">
        <f>IF(ISERROR(CI18/CI17),"",CI18/CI17)</f>
        <v/>
      </c>
      <c r="CJ135" s="192"/>
      <c r="CK135" s="192"/>
      <c r="CL135" s="194"/>
      <c r="CM135" s="191"/>
      <c r="CN135" s="442" t="str">
        <f>IF(ISERROR(CN18/CN17),"",CN18/CN17)</f>
        <v/>
      </c>
      <c r="CO135" s="443"/>
      <c r="CP135" s="444" t="str">
        <f>IF(ISERROR(CP18/CP17),"",CP18/CP17)</f>
        <v/>
      </c>
      <c r="CQ135" s="444"/>
      <c r="CR135" s="444"/>
      <c r="CS135" s="195"/>
      <c r="CT135" s="442" t="str">
        <f>IF(ISERROR(CT18/CT17),"",CT18/CT17)</f>
        <v/>
      </c>
      <c r="CU135" s="443"/>
      <c r="CV135" s="444" t="str">
        <f>IF(ISERROR(CV18/CV17),"",CV18/CV17)</f>
        <v/>
      </c>
      <c r="CW135" s="444"/>
      <c r="CX135" s="444"/>
      <c r="CY135" s="195"/>
      <c r="CZ135" s="442" t="str">
        <f>IF(ISERROR(CZ18/CZ17),"",CZ18/CZ17)</f>
        <v/>
      </c>
      <c r="DA135" s="443"/>
      <c r="DB135" s="444" t="str">
        <f>IF(ISERROR(DB18/DB17),"",DB18/DB17)</f>
        <v/>
      </c>
      <c r="DC135" s="444"/>
      <c r="DD135" s="444"/>
      <c r="DE135" s="197"/>
      <c r="DF135" s="329" t="str">
        <f>IF(ISERROR(DF18/DF17),"",DF18/DF17)</f>
        <v/>
      </c>
      <c r="DG135" s="339"/>
      <c r="DH135" s="192" t="str">
        <f>IF(ISERROR(DH18/DH17),"",DH18/DH17)</f>
        <v/>
      </c>
      <c r="DI135" s="192"/>
      <c r="DJ135" s="192"/>
      <c r="DK135" s="32"/>
    </row>
    <row r="136" spans="1:115" s="3" customFormat="1" ht="21.75" customHeight="1" thickBot="1" x14ac:dyDescent="0.3">
      <c r="A136" s="80">
        <v>127</v>
      </c>
      <c r="B136" s="542" t="s">
        <v>134</v>
      </c>
      <c r="C136" s="543"/>
      <c r="D136" s="543"/>
      <c r="E136" s="543"/>
      <c r="F136" s="543"/>
      <c r="G136" s="543"/>
      <c r="H136" s="543"/>
      <c r="I136" s="544"/>
      <c r="J136" s="198" t="str">
        <f>IF(ISERROR(J19/J15),"",J19/J15)</f>
        <v/>
      </c>
      <c r="K136" s="198"/>
      <c r="L136" s="198" t="str">
        <f>IF(ISERROR(L19/L15),"",L19/L15)</f>
        <v/>
      </c>
      <c r="M136" s="198"/>
      <c r="N136" s="198"/>
      <c r="O136" s="199"/>
      <c r="P136" s="185"/>
      <c r="Q136" s="445" t="str">
        <f>IF(ISERROR(Q19/Q15),"",Q19/Q15)</f>
        <v/>
      </c>
      <c r="R136" s="446"/>
      <c r="S136" s="447" t="str">
        <f>IF(ISERROR(S19/S15),"",S19/S15)</f>
        <v/>
      </c>
      <c r="T136" s="447"/>
      <c r="U136" s="447"/>
      <c r="V136" s="201"/>
      <c r="W136" s="445" t="str">
        <f>IF(ISERROR(W19/W15),"",W19/W15)</f>
        <v/>
      </c>
      <c r="X136" s="446"/>
      <c r="Y136" s="447" t="str">
        <f>IF(ISERROR(Y19/Y15),"",Y19/Y15)</f>
        <v/>
      </c>
      <c r="Z136" s="447"/>
      <c r="AA136" s="447"/>
      <c r="AB136" s="201"/>
      <c r="AC136" s="445" t="str">
        <f>IF(ISERROR(AC19/AC15),"",AC19/AC15)</f>
        <v/>
      </c>
      <c r="AD136" s="446"/>
      <c r="AE136" s="447" t="str">
        <f>IF(ISERROR(AE19/AE15),"",AE19/AE15)</f>
        <v/>
      </c>
      <c r="AF136" s="447"/>
      <c r="AG136" s="447"/>
      <c r="AH136" s="202" t="e">
        <f>AE136-AF136</f>
        <v>#VALUE!</v>
      </c>
      <c r="AI136" s="330" t="str">
        <f>IF(ISERROR(AI19/AI15),"",AI19/AI15)</f>
        <v/>
      </c>
      <c r="AJ136" s="340"/>
      <c r="AK136" s="198" t="str">
        <f>IF(ISERROR(AK19/AK15),"",AK19/AK15)</f>
        <v/>
      </c>
      <c r="AL136" s="198"/>
      <c r="AM136" s="198"/>
      <c r="AN136" s="201"/>
      <c r="AO136" s="189"/>
      <c r="AP136" s="445" t="str">
        <f>IF(ISERROR(AP19/AP15),"",AP19/AP15)</f>
        <v/>
      </c>
      <c r="AQ136" s="446"/>
      <c r="AR136" s="447" t="str">
        <f>IF(ISERROR(AR19/AR15),"",AR19/AR15)</f>
        <v/>
      </c>
      <c r="AS136" s="447"/>
      <c r="AT136" s="447"/>
      <c r="AU136" s="201"/>
      <c r="AV136" s="445" t="str">
        <f>IF(ISERROR(AV19/AV15),"",AV19/AV15)</f>
        <v/>
      </c>
      <c r="AW136" s="446"/>
      <c r="AX136" s="447" t="str">
        <f>IF(ISERROR(AX19/AX15),"",AX19/AX15)</f>
        <v/>
      </c>
      <c r="AY136" s="447"/>
      <c r="AZ136" s="447"/>
      <c r="BA136" s="201"/>
      <c r="BB136" s="445" t="str">
        <f>IF(ISERROR(BB19/BB15),"",BB19/BB15)</f>
        <v/>
      </c>
      <c r="BC136" s="446"/>
      <c r="BD136" s="447" t="str">
        <f>IF(ISERROR(BD19/BD15),"",BD19/BD15)</f>
        <v/>
      </c>
      <c r="BE136" s="447"/>
      <c r="BF136" s="447"/>
      <c r="BG136" s="203"/>
      <c r="BH136" s="330" t="str">
        <f>IF(ISERROR(BH19/BH15),"",BH19/BH15)</f>
        <v/>
      </c>
      <c r="BI136" s="340"/>
      <c r="BJ136" s="198" t="str">
        <f>IF(ISERROR(BJ19/BJ15),"",BJ19/BJ15)</f>
        <v/>
      </c>
      <c r="BK136" s="198"/>
      <c r="BL136" s="198"/>
      <c r="BM136" s="200"/>
      <c r="BN136" s="189"/>
      <c r="BO136" s="445" t="str">
        <f>IF(ISERROR(BO19/BO15),"",BO19/BO15)</f>
        <v/>
      </c>
      <c r="BP136" s="446"/>
      <c r="BQ136" s="447" t="str">
        <f>IF(ISERROR(BQ19/BQ15),"",BQ19/BQ15)</f>
        <v/>
      </c>
      <c r="BR136" s="447"/>
      <c r="BS136" s="447"/>
      <c r="BT136" s="201"/>
      <c r="BU136" s="445" t="str">
        <f>IF(ISERROR(BU19/BU15),"",BU19/BU15)</f>
        <v/>
      </c>
      <c r="BV136" s="446"/>
      <c r="BW136" s="447" t="str">
        <f>IF(ISERROR(BW19/BW15),"",BW19/BW15)</f>
        <v/>
      </c>
      <c r="BX136" s="447"/>
      <c r="BY136" s="447"/>
      <c r="BZ136" s="201"/>
      <c r="CA136" s="445" t="str">
        <f>IF(ISERROR(CA19/CA15),"",CA19/CA15)</f>
        <v/>
      </c>
      <c r="CB136" s="446"/>
      <c r="CC136" s="447" t="str">
        <f>IF(ISERROR(CC19/CC15),"",CC19/CC15)</f>
        <v/>
      </c>
      <c r="CD136" s="447"/>
      <c r="CE136" s="447"/>
      <c r="CF136" s="201"/>
      <c r="CG136" s="330" t="str">
        <f>IF(ISERROR(CG19/CG15),"",CG19/CG15)</f>
        <v/>
      </c>
      <c r="CH136" s="340"/>
      <c r="CI136" s="198" t="str">
        <f>IF(ISERROR(CI19/CI15),"",CI19/CI15)</f>
        <v/>
      </c>
      <c r="CJ136" s="198"/>
      <c r="CK136" s="198"/>
      <c r="CL136" s="200"/>
      <c r="CM136" s="191"/>
      <c r="CN136" s="445" t="str">
        <f>IF(ISERROR(CN19/CN15),"",CN19/CN15)</f>
        <v/>
      </c>
      <c r="CO136" s="446"/>
      <c r="CP136" s="447" t="str">
        <f>IF(ISERROR(CP19/CP15),"",CP19/CP15)</f>
        <v/>
      </c>
      <c r="CQ136" s="447"/>
      <c r="CR136" s="447"/>
      <c r="CS136" s="201"/>
      <c r="CT136" s="445" t="str">
        <f>IF(ISERROR(CT19/CT15),"",CT19/CT15)</f>
        <v/>
      </c>
      <c r="CU136" s="446"/>
      <c r="CV136" s="447" t="str">
        <f>IF(ISERROR(CV19/CV15),"",CV19/CV15)</f>
        <v/>
      </c>
      <c r="CW136" s="447"/>
      <c r="CX136" s="447"/>
      <c r="CY136" s="201"/>
      <c r="CZ136" s="445" t="str">
        <f>IF(ISERROR(CZ19/CZ15),"",CZ19/CZ15)</f>
        <v/>
      </c>
      <c r="DA136" s="446"/>
      <c r="DB136" s="447" t="str">
        <f>IF(ISERROR(DB19/DB15),"",DB19/DB15)</f>
        <v/>
      </c>
      <c r="DC136" s="447"/>
      <c r="DD136" s="447"/>
      <c r="DE136" s="203"/>
      <c r="DF136" s="330" t="str">
        <f>IF(ISERROR(DF19/DF15),"",DF19/DF15)</f>
        <v/>
      </c>
      <c r="DG136" s="340"/>
      <c r="DH136" s="198" t="str">
        <f>IF(ISERROR(DH19/DH15),"",DH19/DH15)</f>
        <v/>
      </c>
      <c r="DI136" s="198"/>
      <c r="DJ136" s="198"/>
      <c r="DK136" s="34"/>
    </row>
    <row r="137" spans="1:115" s="3" customFormat="1" ht="21.75" customHeight="1" thickBot="1" x14ac:dyDescent="0.5">
      <c r="A137" s="80">
        <v>128</v>
      </c>
      <c r="B137" s="545" t="s">
        <v>135</v>
      </c>
      <c r="C137" s="545"/>
      <c r="D137" s="545"/>
      <c r="E137" s="545"/>
      <c r="F137" s="545"/>
      <c r="G137" s="545"/>
      <c r="H137" s="545"/>
      <c r="I137" s="545"/>
      <c r="J137" s="149"/>
      <c r="K137" s="149"/>
      <c r="L137" s="149"/>
      <c r="M137" s="149"/>
      <c r="N137" s="149"/>
      <c r="O137" s="68"/>
      <c r="P137" s="68"/>
      <c r="Q137" s="428"/>
      <c r="R137" s="428"/>
      <c r="S137" s="428"/>
      <c r="T137" s="428"/>
      <c r="U137" s="428"/>
      <c r="V137" s="149"/>
      <c r="W137" s="428"/>
      <c r="X137" s="428"/>
      <c r="Y137" s="428"/>
      <c r="Z137" s="428"/>
      <c r="AA137" s="428"/>
      <c r="AB137" s="149"/>
      <c r="AC137" s="428"/>
      <c r="AD137" s="428"/>
      <c r="AE137" s="428"/>
      <c r="AF137" s="428"/>
      <c r="AG137" s="428"/>
      <c r="AH137" s="149"/>
      <c r="AI137" s="149"/>
      <c r="AJ137" s="149"/>
      <c r="AK137" s="149"/>
      <c r="AL137" s="149"/>
      <c r="AM137" s="149"/>
      <c r="AN137" s="149"/>
      <c r="AO137" s="147"/>
      <c r="AP137" s="428"/>
      <c r="AQ137" s="428"/>
      <c r="AR137" s="428"/>
      <c r="AS137" s="428"/>
      <c r="AT137" s="428"/>
      <c r="AU137" s="149"/>
      <c r="AV137" s="428"/>
      <c r="AW137" s="428"/>
      <c r="AX137" s="428"/>
      <c r="AY137" s="428"/>
      <c r="AZ137" s="428"/>
      <c r="BA137" s="149"/>
      <c r="BB137" s="428"/>
      <c r="BC137" s="428"/>
      <c r="BD137" s="428"/>
      <c r="BE137" s="428"/>
      <c r="BF137" s="428"/>
      <c r="BG137" s="149"/>
      <c r="BH137" s="149"/>
      <c r="BI137" s="149"/>
      <c r="BJ137" s="149"/>
      <c r="BK137" s="149"/>
      <c r="BL137" s="149"/>
      <c r="BM137" s="149"/>
      <c r="BN137" s="147"/>
      <c r="BO137" s="428"/>
      <c r="BP137" s="428"/>
      <c r="BQ137" s="428"/>
      <c r="BR137" s="428"/>
      <c r="BS137" s="428"/>
      <c r="BT137" s="149"/>
      <c r="BU137" s="428"/>
      <c r="BV137" s="428"/>
      <c r="BW137" s="428"/>
      <c r="BX137" s="428"/>
      <c r="BY137" s="428"/>
      <c r="BZ137" s="149"/>
      <c r="CA137" s="428"/>
      <c r="CB137" s="428"/>
      <c r="CC137" s="428"/>
      <c r="CD137" s="428"/>
      <c r="CE137" s="428"/>
      <c r="CF137" s="149"/>
      <c r="CG137" s="149"/>
      <c r="CH137" s="149"/>
      <c r="CI137" s="149"/>
      <c r="CJ137" s="149"/>
      <c r="CK137" s="149"/>
      <c r="CL137" s="149"/>
      <c r="CM137" s="148"/>
      <c r="CN137" s="428"/>
      <c r="CO137" s="428"/>
      <c r="CP137" s="428"/>
      <c r="CQ137" s="428"/>
      <c r="CR137" s="428"/>
      <c r="CS137" s="149"/>
      <c r="CT137" s="428"/>
      <c r="CU137" s="428"/>
      <c r="CV137" s="428"/>
      <c r="CW137" s="428"/>
      <c r="CX137" s="428"/>
      <c r="CY137" s="149"/>
      <c r="CZ137" s="428"/>
      <c r="DA137" s="428"/>
      <c r="DB137" s="428"/>
      <c r="DC137" s="428"/>
      <c r="DD137" s="428"/>
      <c r="DE137" s="149"/>
      <c r="DF137" s="149"/>
      <c r="DG137" s="149"/>
      <c r="DH137" s="149"/>
      <c r="DI137" s="149"/>
      <c r="DJ137" s="149"/>
      <c r="DK137" s="29"/>
    </row>
    <row r="138" spans="1:115" s="3" customFormat="1" ht="21.75" customHeight="1" outlineLevel="1" thickTop="1" x14ac:dyDescent="0.25">
      <c r="A138" s="80">
        <v>129</v>
      </c>
      <c r="B138" s="555" t="s">
        <v>136</v>
      </c>
      <c r="C138" s="556"/>
      <c r="D138" s="556"/>
      <c r="E138" s="556"/>
      <c r="F138" s="556"/>
      <c r="G138" s="556"/>
      <c r="H138" s="556"/>
      <c r="I138" s="557"/>
      <c r="J138" s="98">
        <f t="shared" ref="J138:J145" si="158">SUM(Q138,W138,AC138,AP138,AV138,BB138,BO138,BU138,CA138,CN138,CT138,CZ138)</f>
        <v>0</v>
      </c>
      <c r="K138" s="167"/>
      <c r="L138" s="95">
        <f t="shared" ref="L138:L145" si="159">SUM(S138,Y138,AE138,AR138,AX138,BD138,BQ138,BW138,CC138,CP138,CV138,DB138)</f>
        <v>0</v>
      </c>
      <c r="M138" s="167"/>
      <c r="N138" s="95">
        <f t="shared" ref="N138:N145" si="160">J138-L138</f>
        <v>0</v>
      </c>
      <c r="O138" s="72">
        <f>SUM(V138,AB138,AH138,AU138,BA138,BG138,BT138,BZ138,CF138,CS138,CY138,DE138)</f>
        <v>0</v>
      </c>
      <c r="P138" s="73"/>
      <c r="Q138" s="475"/>
      <c r="R138" s="448"/>
      <c r="S138" s="449"/>
      <c r="T138" s="450"/>
      <c r="U138" s="449">
        <f t="shared" ref="U138:U145" si="161">Q138-S138</f>
        <v>0</v>
      </c>
      <c r="V138" s="166"/>
      <c r="W138" s="475"/>
      <c r="X138" s="448"/>
      <c r="Y138" s="449"/>
      <c r="Z138" s="450"/>
      <c r="AA138" s="449">
        <f t="shared" ref="AA138:AA145" si="162">W138-Y138</f>
        <v>0</v>
      </c>
      <c r="AB138" s="166"/>
      <c r="AC138" s="475"/>
      <c r="AD138" s="448"/>
      <c r="AE138" s="449"/>
      <c r="AF138" s="450"/>
      <c r="AG138" s="449">
        <f t="shared" ref="AG138:AG145" si="163">AC138-AE138</f>
        <v>0</v>
      </c>
      <c r="AH138" s="165">
        <f>AE138-AF138</f>
        <v>0</v>
      </c>
      <c r="AI138" s="228">
        <f t="shared" ref="AI138:AI145" si="164">SUM(Q138,W138,AC138)</f>
        <v>0</v>
      </c>
      <c r="AJ138" s="341"/>
      <c r="AK138" s="229">
        <f t="shared" ref="AK138:AK145" si="165">SUM(S138,Y138,AE138)</f>
        <v>0</v>
      </c>
      <c r="AL138" s="167"/>
      <c r="AM138" s="95">
        <f t="shared" ref="AM138:AM145" si="166">AI138-AK138</f>
        <v>0</v>
      </c>
      <c r="AN138" s="166"/>
      <c r="AO138" s="147"/>
      <c r="AP138" s="475"/>
      <c r="AQ138" s="448"/>
      <c r="AR138" s="449"/>
      <c r="AS138" s="450"/>
      <c r="AT138" s="449">
        <f t="shared" ref="AT138:AT145" si="167">AP138-AR138</f>
        <v>0</v>
      </c>
      <c r="AU138" s="166"/>
      <c r="AV138" s="475"/>
      <c r="AW138" s="448"/>
      <c r="AX138" s="449"/>
      <c r="AY138" s="450"/>
      <c r="AZ138" s="449">
        <f t="shared" ref="AZ138:AZ145" si="168">AV138-AX138</f>
        <v>0</v>
      </c>
      <c r="BA138" s="166"/>
      <c r="BB138" s="475"/>
      <c r="BC138" s="448"/>
      <c r="BD138" s="449"/>
      <c r="BE138" s="450"/>
      <c r="BF138" s="449">
        <f t="shared" ref="BF138:BF145" si="169">BB138-BD138</f>
        <v>0</v>
      </c>
      <c r="BG138" s="166"/>
      <c r="BH138" s="228">
        <f t="shared" ref="BH138:BH145" si="170">SUM(AP138,AV138,BB138)</f>
        <v>0</v>
      </c>
      <c r="BI138" s="341"/>
      <c r="BJ138" s="229">
        <f t="shared" ref="BJ138:BJ145" si="171">SUM(AR138,AX138,BD138)</f>
        <v>0</v>
      </c>
      <c r="BK138" s="167"/>
      <c r="BL138" s="95">
        <f t="shared" ref="BL138:BL145" si="172">BH138-BJ138</f>
        <v>0</v>
      </c>
      <c r="BM138" s="166"/>
      <c r="BN138" s="147"/>
      <c r="BO138" s="475"/>
      <c r="BP138" s="448"/>
      <c r="BQ138" s="449"/>
      <c r="BR138" s="450"/>
      <c r="BS138" s="449">
        <f t="shared" ref="BS138:BS145" si="173">BO138-BQ138</f>
        <v>0</v>
      </c>
      <c r="BT138" s="166"/>
      <c r="BU138" s="475"/>
      <c r="BV138" s="448"/>
      <c r="BW138" s="449"/>
      <c r="BX138" s="450"/>
      <c r="BY138" s="449">
        <f t="shared" ref="BY138:BY145" si="174">BU138-BW138</f>
        <v>0</v>
      </c>
      <c r="BZ138" s="166"/>
      <c r="CA138" s="475"/>
      <c r="CB138" s="448"/>
      <c r="CC138" s="449"/>
      <c r="CD138" s="450"/>
      <c r="CE138" s="449">
        <f t="shared" ref="CE138:CE145" si="175">CA138-CC138</f>
        <v>0</v>
      </c>
      <c r="CF138" s="166"/>
      <c r="CG138" s="228">
        <f t="shared" ref="CG138:CG145" si="176">SUM(BO138,BU138,CA138)</f>
        <v>0</v>
      </c>
      <c r="CH138" s="341"/>
      <c r="CI138" s="229">
        <f t="shared" ref="CI138:CI145" si="177">SUM(BQ138,BW138,CC138)</f>
        <v>0</v>
      </c>
      <c r="CJ138" s="167"/>
      <c r="CK138" s="95">
        <f t="shared" ref="CK138:CK145" si="178">CG138-CI138</f>
        <v>0</v>
      </c>
      <c r="CL138" s="166"/>
      <c r="CM138" s="148"/>
      <c r="CN138" s="475"/>
      <c r="CO138" s="448"/>
      <c r="CP138" s="449"/>
      <c r="CQ138" s="450"/>
      <c r="CR138" s="449">
        <f t="shared" ref="CR138:CR145" si="179">CN138-CP138</f>
        <v>0</v>
      </c>
      <c r="CS138" s="166"/>
      <c r="CT138" s="475"/>
      <c r="CU138" s="448"/>
      <c r="CV138" s="449"/>
      <c r="CW138" s="450"/>
      <c r="CX138" s="449">
        <f t="shared" ref="CX138:CX145" si="180">CT138-CV138</f>
        <v>0</v>
      </c>
      <c r="CY138" s="166"/>
      <c r="CZ138" s="475"/>
      <c r="DA138" s="448"/>
      <c r="DB138" s="449"/>
      <c r="DC138" s="450"/>
      <c r="DD138" s="449">
        <f t="shared" ref="DD138:DD145" si="181">CZ138-DB138</f>
        <v>0</v>
      </c>
      <c r="DE138" s="166"/>
      <c r="DF138" s="228">
        <f t="shared" ref="DF138:DF145" si="182">SUM(CN138,CT138,CZ138)</f>
        <v>0</v>
      </c>
      <c r="DG138" s="341"/>
      <c r="DH138" s="229">
        <f t="shared" ref="DH138:DH145" si="183">SUM(CP138,CV138,DB138)</f>
        <v>0</v>
      </c>
      <c r="DI138" s="167"/>
      <c r="DJ138" s="95">
        <f t="shared" ref="DJ138:DJ145" si="184">DF138-DH138</f>
        <v>0</v>
      </c>
      <c r="DK138" s="7"/>
    </row>
    <row r="139" spans="1:115" s="3" customFormat="1" ht="21.75" customHeight="1" outlineLevel="1" x14ac:dyDescent="0.25">
      <c r="A139" s="80">
        <v>130</v>
      </c>
      <c r="B139" s="558" t="s">
        <v>137</v>
      </c>
      <c r="C139" s="559"/>
      <c r="D139" s="559"/>
      <c r="E139" s="559"/>
      <c r="F139" s="559"/>
      <c r="G139" s="559"/>
      <c r="H139" s="559"/>
      <c r="I139" s="560"/>
      <c r="J139" s="104">
        <f t="shared" si="158"/>
        <v>0</v>
      </c>
      <c r="K139" s="170"/>
      <c r="L139" s="101">
        <f t="shared" si="159"/>
        <v>0</v>
      </c>
      <c r="M139" s="170"/>
      <c r="N139" s="101">
        <f t="shared" si="160"/>
        <v>0</v>
      </c>
      <c r="O139" s="74">
        <f>SUM(V139,AB139,AH139,AU139,BA139,BG139,BT139,BZ139,CF139,CS139,CY139,DE139)</f>
        <v>0</v>
      </c>
      <c r="P139" s="73"/>
      <c r="Q139" s="476"/>
      <c r="R139" s="451"/>
      <c r="S139" s="452"/>
      <c r="T139" s="453"/>
      <c r="U139" s="452">
        <f t="shared" si="161"/>
        <v>0</v>
      </c>
      <c r="V139" s="169"/>
      <c r="W139" s="476"/>
      <c r="X139" s="451"/>
      <c r="Y139" s="452"/>
      <c r="Z139" s="453"/>
      <c r="AA139" s="452">
        <f t="shared" si="162"/>
        <v>0</v>
      </c>
      <c r="AB139" s="169"/>
      <c r="AC139" s="476"/>
      <c r="AD139" s="451"/>
      <c r="AE139" s="452"/>
      <c r="AF139" s="453"/>
      <c r="AG139" s="452">
        <f t="shared" si="163"/>
        <v>0</v>
      </c>
      <c r="AH139" s="168">
        <f>AE139-AF139</f>
        <v>0</v>
      </c>
      <c r="AI139" s="230">
        <f t="shared" si="164"/>
        <v>0</v>
      </c>
      <c r="AJ139" s="342"/>
      <c r="AK139" s="231">
        <f t="shared" si="165"/>
        <v>0</v>
      </c>
      <c r="AL139" s="170"/>
      <c r="AM139" s="101">
        <f t="shared" si="166"/>
        <v>0</v>
      </c>
      <c r="AN139" s="169"/>
      <c r="AO139" s="147"/>
      <c r="AP139" s="476"/>
      <c r="AQ139" s="451"/>
      <c r="AR139" s="452"/>
      <c r="AS139" s="453"/>
      <c r="AT139" s="452">
        <f t="shared" si="167"/>
        <v>0</v>
      </c>
      <c r="AU139" s="169"/>
      <c r="AV139" s="476"/>
      <c r="AW139" s="451"/>
      <c r="AX139" s="452"/>
      <c r="AY139" s="453"/>
      <c r="AZ139" s="452">
        <f t="shared" si="168"/>
        <v>0</v>
      </c>
      <c r="BA139" s="169"/>
      <c r="BB139" s="476"/>
      <c r="BC139" s="451"/>
      <c r="BD139" s="452"/>
      <c r="BE139" s="453"/>
      <c r="BF139" s="452">
        <f t="shared" si="169"/>
        <v>0</v>
      </c>
      <c r="BG139" s="169"/>
      <c r="BH139" s="272">
        <f t="shared" si="170"/>
        <v>0</v>
      </c>
      <c r="BI139" s="342"/>
      <c r="BJ139" s="273">
        <f t="shared" si="171"/>
        <v>0</v>
      </c>
      <c r="BK139" s="179"/>
      <c r="BL139" s="101">
        <f t="shared" si="172"/>
        <v>0</v>
      </c>
      <c r="BM139" s="169"/>
      <c r="BN139" s="147"/>
      <c r="BO139" s="476"/>
      <c r="BP139" s="451"/>
      <c r="BQ139" s="452"/>
      <c r="BR139" s="453"/>
      <c r="BS139" s="452">
        <f t="shared" si="173"/>
        <v>0</v>
      </c>
      <c r="BT139" s="169"/>
      <c r="BU139" s="476"/>
      <c r="BV139" s="451"/>
      <c r="BW139" s="452"/>
      <c r="BX139" s="453"/>
      <c r="BY139" s="452">
        <f t="shared" si="174"/>
        <v>0</v>
      </c>
      <c r="BZ139" s="169"/>
      <c r="CA139" s="476"/>
      <c r="CB139" s="451"/>
      <c r="CC139" s="452"/>
      <c r="CD139" s="453"/>
      <c r="CE139" s="452">
        <f t="shared" si="175"/>
        <v>0</v>
      </c>
      <c r="CF139" s="169"/>
      <c r="CG139" s="272">
        <f t="shared" si="176"/>
        <v>0</v>
      </c>
      <c r="CH139" s="342"/>
      <c r="CI139" s="273">
        <f t="shared" si="177"/>
        <v>0</v>
      </c>
      <c r="CJ139" s="179"/>
      <c r="CK139" s="101">
        <f t="shared" si="178"/>
        <v>0</v>
      </c>
      <c r="CL139" s="169"/>
      <c r="CM139" s="148"/>
      <c r="CN139" s="476"/>
      <c r="CO139" s="451"/>
      <c r="CP139" s="452"/>
      <c r="CQ139" s="453"/>
      <c r="CR139" s="452">
        <f t="shared" si="179"/>
        <v>0</v>
      </c>
      <c r="CS139" s="169"/>
      <c r="CT139" s="476"/>
      <c r="CU139" s="451"/>
      <c r="CV139" s="452"/>
      <c r="CW139" s="453"/>
      <c r="CX139" s="452">
        <f t="shared" si="180"/>
        <v>0</v>
      </c>
      <c r="CY139" s="169"/>
      <c r="CZ139" s="476"/>
      <c r="DA139" s="451"/>
      <c r="DB139" s="452"/>
      <c r="DC139" s="453"/>
      <c r="DD139" s="452">
        <f t="shared" si="181"/>
        <v>0</v>
      </c>
      <c r="DE139" s="169"/>
      <c r="DF139" s="272">
        <f t="shared" si="182"/>
        <v>0</v>
      </c>
      <c r="DG139" s="342"/>
      <c r="DH139" s="273">
        <f t="shared" si="183"/>
        <v>0</v>
      </c>
      <c r="DI139" s="179"/>
      <c r="DJ139" s="101">
        <f t="shared" si="184"/>
        <v>0</v>
      </c>
      <c r="DK139" s="8"/>
    </row>
    <row r="140" spans="1:115" s="3" customFormat="1" ht="21.75" customHeight="1" outlineLevel="1" x14ac:dyDescent="0.25">
      <c r="A140" s="80">
        <v>131</v>
      </c>
      <c r="B140" s="558" t="s">
        <v>138</v>
      </c>
      <c r="C140" s="559"/>
      <c r="D140" s="559"/>
      <c r="E140" s="559"/>
      <c r="F140" s="559"/>
      <c r="G140" s="559"/>
      <c r="H140" s="559"/>
      <c r="I140" s="560"/>
      <c r="J140" s="104">
        <f t="shared" si="158"/>
        <v>0</v>
      </c>
      <c r="K140" s="170"/>
      <c r="L140" s="101">
        <f t="shared" si="159"/>
        <v>0</v>
      </c>
      <c r="M140" s="170"/>
      <c r="N140" s="101">
        <f t="shared" si="160"/>
        <v>0</v>
      </c>
      <c r="O140" s="74">
        <f>SUM(V140,AB140,AH140,AU140,BA140,BG140,BT140,BZ140,CF140,CS140,CY140,DE140)</f>
        <v>0</v>
      </c>
      <c r="P140" s="73"/>
      <c r="Q140" s="476"/>
      <c r="R140" s="451"/>
      <c r="S140" s="452"/>
      <c r="T140" s="453"/>
      <c r="U140" s="452">
        <f t="shared" si="161"/>
        <v>0</v>
      </c>
      <c r="V140" s="169"/>
      <c r="W140" s="476"/>
      <c r="X140" s="451"/>
      <c r="Y140" s="452"/>
      <c r="Z140" s="453"/>
      <c r="AA140" s="452">
        <f t="shared" si="162"/>
        <v>0</v>
      </c>
      <c r="AB140" s="169"/>
      <c r="AC140" s="476"/>
      <c r="AD140" s="451"/>
      <c r="AE140" s="452"/>
      <c r="AF140" s="453"/>
      <c r="AG140" s="452">
        <f t="shared" si="163"/>
        <v>0</v>
      </c>
      <c r="AH140" s="168">
        <f>AE140-AF140</f>
        <v>0</v>
      </c>
      <c r="AI140" s="230">
        <f t="shared" si="164"/>
        <v>0</v>
      </c>
      <c r="AJ140" s="342"/>
      <c r="AK140" s="231">
        <f t="shared" si="165"/>
        <v>0</v>
      </c>
      <c r="AL140" s="170"/>
      <c r="AM140" s="101">
        <f t="shared" si="166"/>
        <v>0</v>
      </c>
      <c r="AN140" s="169"/>
      <c r="AO140" s="147"/>
      <c r="AP140" s="476"/>
      <c r="AQ140" s="451"/>
      <c r="AR140" s="452"/>
      <c r="AS140" s="453"/>
      <c r="AT140" s="452">
        <f t="shared" si="167"/>
        <v>0</v>
      </c>
      <c r="AU140" s="169"/>
      <c r="AV140" s="476"/>
      <c r="AW140" s="451"/>
      <c r="AX140" s="452"/>
      <c r="AY140" s="453"/>
      <c r="AZ140" s="452">
        <f t="shared" si="168"/>
        <v>0</v>
      </c>
      <c r="BA140" s="169"/>
      <c r="BB140" s="476"/>
      <c r="BC140" s="451"/>
      <c r="BD140" s="452"/>
      <c r="BE140" s="453"/>
      <c r="BF140" s="452">
        <f t="shared" si="169"/>
        <v>0</v>
      </c>
      <c r="BG140" s="169"/>
      <c r="BH140" s="272">
        <f t="shared" si="170"/>
        <v>0</v>
      </c>
      <c r="BI140" s="342"/>
      <c r="BJ140" s="273">
        <f t="shared" si="171"/>
        <v>0</v>
      </c>
      <c r="BK140" s="179"/>
      <c r="BL140" s="101">
        <f t="shared" si="172"/>
        <v>0</v>
      </c>
      <c r="BM140" s="169"/>
      <c r="BN140" s="147"/>
      <c r="BO140" s="476"/>
      <c r="BP140" s="451"/>
      <c r="BQ140" s="452"/>
      <c r="BR140" s="453"/>
      <c r="BS140" s="452">
        <f t="shared" si="173"/>
        <v>0</v>
      </c>
      <c r="BT140" s="169"/>
      <c r="BU140" s="476"/>
      <c r="BV140" s="451"/>
      <c r="BW140" s="452"/>
      <c r="BX140" s="453"/>
      <c r="BY140" s="452">
        <f t="shared" si="174"/>
        <v>0</v>
      </c>
      <c r="BZ140" s="169"/>
      <c r="CA140" s="476"/>
      <c r="CB140" s="451"/>
      <c r="CC140" s="452"/>
      <c r="CD140" s="453"/>
      <c r="CE140" s="452">
        <f t="shared" si="175"/>
        <v>0</v>
      </c>
      <c r="CF140" s="169"/>
      <c r="CG140" s="272">
        <f t="shared" si="176"/>
        <v>0</v>
      </c>
      <c r="CH140" s="342"/>
      <c r="CI140" s="273">
        <f t="shared" si="177"/>
        <v>0</v>
      </c>
      <c r="CJ140" s="179"/>
      <c r="CK140" s="101">
        <f t="shared" si="178"/>
        <v>0</v>
      </c>
      <c r="CL140" s="169"/>
      <c r="CM140" s="148"/>
      <c r="CN140" s="476"/>
      <c r="CO140" s="451"/>
      <c r="CP140" s="452"/>
      <c r="CQ140" s="453"/>
      <c r="CR140" s="452">
        <f t="shared" si="179"/>
        <v>0</v>
      </c>
      <c r="CS140" s="169"/>
      <c r="CT140" s="476"/>
      <c r="CU140" s="451"/>
      <c r="CV140" s="452"/>
      <c r="CW140" s="453"/>
      <c r="CX140" s="452">
        <f t="shared" si="180"/>
        <v>0</v>
      </c>
      <c r="CY140" s="169"/>
      <c r="CZ140" s="476"/>
      <c r="DA140" s="451"/>
      <c r="DB140" s="452"/>
      <c r="DC140" s="453"/>
      <c r="DD140" s="452">
        <f t="shared" si="181"/>
        <v>0</v>
      </c>
      <c r="DE140" s="169"/>
      <c r="DF140" s="272">
        <f t="shared" si="182"/>
        <v>0</v>
      </c>
      <c r="DG140" s="342"/>
      <c r="DH140" s="273">
        <f t="shared" si="183"/>
        <v>0</v>
      </c>
      <c r="DI140" s="179"/>
      <c r="DJ140" s="101">
        <f t="shared" si="184"/>
        <v>0</v>
      </c>
      <c r="DK140" s="8"/>
    </row>
    <row r="141" spans="1:115" s="3" customFormat="1" ht="21.75" customHeight="1" outlineLevel="1" x14ac:dyDescent="0.25">
      <c r="A141" s="80">
        <v>132</v>
      </c>
      <c r="B141" s="558" t="s">
        <v>139</v>
      </c>
      <c r="C141" s="559"/>
      <c r="D141" s="559"/>
      <c r="E141" s="559"/>
      <c r="F141" s="559"/>
      <c r="G141" s="559"/>
      <c r="H141" s="559"/>
      <c r="I141" s="560"/>
      <c r="J141" s="104">
        <f t="shared" si="158"/>
        <v>0</v>
      </c>
      <c r="K141" s="170"/>
      <c r="L141" s="101">
        <f t="shared" si="159"/>
        <v>0</v>
      </c>
      <c r="M141" s="170"/>
      <c r="N141" s="101">
        <f t="shared" si="160"/>
        <v>0</v>
      </c>
      <c r="O141" s="74">
        <f>SUM(V141,AB141,AH141,AU141,BA141,BG141,BT141,BZ141,CF141,CS141,CY141,DE141)</f>
        <v>0</v>
      </c>
      <c r="P141" s="73"/>
      <c r="Q141" s="476"/>
      <c r="R141" s="451"/>
      <c r="S141" s="452"/>
      <c r="T141" s="453"/>
      <c r="U141" s="452">
        <f t="shared" si="161"/>
        <v>0</v>
      </c>
      <c r="V141" s="169"/>
      <c r="W141" s="476"/>
      <c r="X141" s="451"/>
      <c r="Y141" s="452"/>
      <c r="Z141" s="453"/>
      <c r="AA141" s="452">
        <f t="shared" si="162"/>
        <v>0</v>
      </c>
      <c r="AB141" s="169"/>
      <c r="AC141" s="476"/>
      <c r="AD141" s="451"/>
      <c r="AE141" s="452"/>
      <c r="AF141" s="453"/>
      <c r="AG141" s="452">
        <f t="shared" si="163"/>
        <v>0</v>
      </c>
      <c r="AH141" s="168">
        <f>AE141-AF141</f>
        <v>0</v>
      </c>
      <c r="AI141" s="230">
        <f t="shared" si="164"/>
        <v>0</v>
      </c>
      <c r="AJ141" s="342"/>
      <c r="AK141" s="231">
        <f t="shared" si="165"/>
        <v>0</v>
      </c>
      <c r="AL141" s="170"/>
      <c r="AM141" s="101">
        <f t="shared" si="166"/>
        <v>0</v>
      </c>
      <c r="AN141" s="169"/>
      <c r="AO141" s="147"/>
      <c r="AP141" s="476"/>
      <c r="AQ141" s="451"/>
      <c r="AR141" s="452"/>
      <c r="AS141" s="453"/>
      <c r="AT141" s="452">
        <f t="shared" si="167"/>
        <v>0</v>
      </c>
      <c r="AU141" s="169"/>
      <c r="AV141" s="476"/>
      <c r="AW141" s="451"/>
      <c r="AX141" s="452"/>
      <c r="AY141" s="453"/>
      <c r="AZ141" s="452">
        <f t="shared" si="168"/>
        <v>0</v>
      </c>
      <c r="BA141" s="169"/>
      <c r="BB141" s="476"/>
      <c r="BC141" s="451"/>
      <c r="BD141" s="452"/>
      <c r="BE141" s="453"/>
      <c r="BF141" s="452">
        <f t="shared" si="169"/>
        <v>0</v>
      </c>
      <c r="BG141" s="169"/>
      <c r="BH141" s="272">
        <f t="shared" si="170"/>
        <v>0</v>
      </c>
      <c r="BI141" s="342"/>
      <c r="BJ141" s="273">
        <f t="shared" si="171"/>
        <v>0</v>
      </c>
      <c r="BK141" s="179"/>
      <c r="BL141" s="101">
        <f t="shared" si="172"/>
        <v>0</v>
      </c>
      <c r="BM141" s="169"/>
      <c r="BN141" s="147"/>
      <c r="BO141" s="476"/>
      <c r="BP141" s="451"/>
      <c r="BQ141" s="452"/>
      <c r="BR141" s="453"/>
      <c r="BS141" s="452">
        <f t="shared" si="173"/>
        <v>0</v>
      </c>
      <c r="BT141" s="169"/>
      <c r="BU141" s="476"/>
      <c r="BV141" s="451"/>
      <c r="BW141" s="452"/>
      <c r="BX141" s="453"/>
      <c r="BY141" s="452">
        <f t="shared" si="174"/>
        <v>0</v>
      </c>
      <c r="BZ141" s="169"/>
      <c r="CA141" s="476"/>
      <c r="CB141" s="451"/>
      <c r="CC141" s="452"/>
      <c r="CD141" s="453"/>
      <c r="CE141" s="452">
        <f t="shared" si="175"/>
        <v>0</v>
      </c>
      <c r="CF141" s="169"/>
      <c r="CG141" s="272">
        <f t="shared" si="176"/>
        <v>0</v>
      </c>
      <c r="CH141" s="342"/>
      <c r="CI141" s="273">
        <f t="shared" si="177"/>
        <v>0</v>
      </c>
      <c r="CJ141" s="179"/>
      <c r="CK141" s="101">
        <f t="shared" si="178"/>
        <v>0</v>
      </c>
      <c r="CL141" s="169"/>
      <c r="CM141" s="148"/>
      <c r="CN141" s="476"/>
      <c r="CO141" s="451"/>
      <c r="CP141" s="452"/>
      <c r="CQ141" s="453"/>
      <c r="CR141" s="452">
        <f t="shared" si="179"/>
        <v>0</v>
      </c>
      <c r="CS141" s="169"/>
      <c r="CT141" s="476"/>
      <c r="CU141" s="451"/>
      <c r="CV141" s="452"/>
      <c r="CW141" s="453"/>
      <c r="CX141" s="452">
        <f t="shared" si="180"/>
        <v>0</v>
      </c>
      <c r="CY141" s="169"/>
      <c r="CZ141" s="476"/>
      <c r="DA141" s="451"/>
      <c r="DB141" s="452"/>
      <c r="DC141" s="453"/>
      <c r="DD141" s="452">
        <f t="shared" si="181"/>
        <v>0</v>
      </c>
      <c r="DE141" s="169"/>
      <c r="DF141" s="272">
        <f t="shared" si="182"/>
        <v>0</v>
      </c>
      <c r="DG141" s="342"/>
      <c r="DH141" s="273">
        <f t="shared" si="183"/>
        <v>0</v>
      </c>
      <c r="DI141" s="179"/>
      <c r="DJ141" s="101">
        <f t="shared" si="184"/>
        <v>0</v>
      </c>
      <c r="DK141" s="8"/>
    </row>
    <row r="142" spans="1:115" s="3" customFormat="1" ht="21.75" customHeight="1" thickBot="1" x14ac:dyDescent="0.3">
      <c r="A142" s="80">
        <v>133</v>
      </c>
      <c r="B142" s="558" t="s">
        <v>140</v>
      </c>
      <c r="C142" s="559"/>
      <c r="D142" s="559"/>
      <c r="E142" s="559"/>
      <c r="F142" s="559"/>
      <c r="G142" s="559"/>
      <c r="H142" s="559"/>
      <c r="I142" s="560"/>
      <c r="J142" s="104">
        <f t="shared" si="158"/>
        <v>0</v>
      </c>
      <c r="K142" s="170"/>
      <c r="L142" s="101">
        <f t="shared" si="159"/>
        <v>0</v>
      </c>
      <c r="M142" s="170"/>
      <c r="N142" s="101">
        <f t="shared" si="160"/>
        <v>0</v>
      </c>
      <c r="O142" s="75">
        <f>SUM(V142,AB142,AH142,AU142,BA142,BG142,BT142,BZ142,CF142,CS142,CY142,DE142)</f>
        <v>0</v>
      </c>
      <c r="P142" s="73"/>
      <c r="Q142" s="476"/>
      <c r="R142" s="451"/>
      <c r="S142" s="452"/>
      <c r="T142" s="453"/>
      <c r="U142" s="452">
        <f t="shared" si="161"/>
        <v>0</v>
      </c>
      <c r="V142" s="169"/>
      <c r="W142" s="476"/>
      <c r="X142" s="451"/>
      <c r="Y142" s="452"/>
      <c r="Z142" s="453"/>
      <c r="AA142" s="452">
        <f t="shared" si="162"/>
        <v>0</v>
      </c>
      <c r="AB142" s="169"/>
      <c r="AC142" s="476"/>
      <c r="AD142" s="451"/>
      <c r="AE142" s="452"/>
      <c r="AF142" s="453"/>
      <c r="AG142" s="452">
        <f t="shared" si="163"/>
        <v>0</v>
      </c>
      <c r="AH142" s="168">
        <f>AE142-AF142</f>
        <v>0</v>
      </c>
      <c r="AI142" s="230">
        <f t="shared" si="164"/>
        <v>0</v>
      </c>
      <c r="AJ142" s="342"/>
      <c r="AK142" s="231">
        <f t="shared" si="165"/>
        <v>0</v>
      </c>
      <c r="AL142" s="170"/>
      <c r="AM142" s="101">
        <f t="shared" si="166"/>
        <v>0</v>
      </c>
      <c r="AN142" s="171"/>
      <c r="AO142" s="147"/>
      <c r="AP142" s="476"/>
      <c r="AQ142" s="451"/>
      <c r="AR142" s="452"/>
      <c r="AS142" s="453"/>
      <c r="AT142" s="452">
        <f t="shared" si="167"/>
        <v>0</v>
      </c>
      <c r="AU142" s="169"/>
      <c r="AV142" s="476"/>
      <c r="AW142" s="451"/>
      <c r="AX142" s="452"/>
      <c r="AY142" s="453"/>
      <c r="AZ142" s="452">
        <f t="shared" si="168"/>
        <v>0</v>
      </c>
      <c r="BA142" s="169"/>
      <c r="BB142" s="476"/>
      <c r="BC142" s="451"/>
      <c r="BD142" s="452"/>
      <c r="BE142" s="453"/>
      <c r="BF142" s="452">
        <f t="shared" si="169"/>
        <v>0</v>
      </c>
      <c r="BG142" s="168"/>
      <c r="BH142" s="272">
        <f t="shared" si="170"/>
        <v>0</v>
      </c>
      <c r="BI142" s="342"/>
      <c r="BJ142" s="273">
        <f t="shared" si="171"/>
        <v>0</v>
      </c>
      <c r="BK142" s="179"/>
      <c r="BL142" s="101">
        <f t="shared" si="172"/>
        <v>0</v>
      </c>
      <c r="BM142" s="171"/>
      <c r="BN142" s="147"/>
      <c r="BO142" s="476"/>
      <c r="BP142" s="451"/>
      <c r="BQ142" s="452"/>
      <c r="BR142" s="453"/>
      <c r="BS142" s="452">
        <f t="shared" si="173"/>
        <v>0</v>
      </c>
      <c r="BT142" s="169"/>
      <c r="BU142" s="476"/>
      <c r="BV142" s="451"/>
      <c r="BW142" s="452"/>
      <c r="BX142" s="453"/>
      <c r="BY142" s="452">
        <f t="shared" si="174"/>
        <v>0</v>
      </c>
      <c r="BZ142" s="169"/>
      <c r="CA142" s="476"/>
      <c r="CB142" s="451"/>
      <c r="CC142" s="452"/>
      <c r="CD142" s="453"/>
      <c r="CE142" s="452">
        <f t="shared" si="175"/>
        <v>0</v>
      </c>
      <c r="CF142" s="168"/>
      <c r="CG142" s="272">
        <f t="shared" si="176"/>
        <v>0</v>
      </c>
      <c r="CH142" s="342"/>
      <c r="CI142" s="273">
        <f t="shared" si="177"/>
        <v>0</v>
      </c>
      <c r="CJ142" s="179"/>
      <c r="CK142" s="101">
        <f t="shared" si="178"/>
        <v>0</v>
      </c>
      <c r="CL142" s="171"/>
      <c r="CM142" s="148"/>
      <c r="CN142" s="476"/>
      <c r="CO142" s="451"/>
      <c r="CP142" s="452"/>
      <c r="CQ142" s="453"/>
      <c r="CR142" s="452">
        <f t="shared" si="179"/>
        <v>0</v>
      </c>
      <c r="CS142" s="169"/>
      <c r="CT142" s="476"/>
      <c r="CU142" s="451"/>
      <c r="CV142" s="452"/>
      <c r="CW142" s="453"/>
      <c r="CX142" s="452">
        <f t="shared" si="180"/>
        <v>0</v>
      </c>
      <c r="CY142" s="169"/>
      <c r="CZ142" s="476"/>
      <c r="DA142" s="451"/>
      <c r="DB142" s="452"/>
      <c r="DC142" s="453"/>
      <c r="DD142" s="452">
        <f t="shared" si="181"/>
        <v>0</v>
      </c>
      <c r="DE142" s="168"/>
      <c r="DF142" s="272">
        <f t="shared" si="182"/>
        <v>0</v>
      </c>
      <c r="DG142" s="342"/>
      <c r="DH142" s="273">
        <f t="shared" si="183"/>
        <v>0</v>
      </c>
      <c r="DI142" s="179"/>
      <c r="DJ142" s="101">
        <f t="shared" si="184"/>
        <v>0</v>
      </c>
      <c r="DK142" s="9"/>
    </row>
    <row r="143" spans="1:115" s="3" customFormat="1" ht="21.75" customHeight="1" x14ac:dyDescent="0.25">
      <c r="A143" s="80">
        <v>134</v>
      </c>
      <c r="B143" s="558" t="s">
        <v>141</v>
      </c>
      <c r="C143" s="559"/>
      <c r="D143" s="559"/>
      <c r="E143" s="559"/>
      <c r="F143" s="559"/>
      <c r="G143" s="559"/>
      <c r="H143" s="559"/>
      <c r="I143" s="560"/>
      <c r="J143" s="204">
        <f t="shared" si="158"/>
        <v>0</v>
      </c>
      <c r="K143" s="170"/>
      <c r="L143" s="101">
        <f t="shared" si="159"/>
        <v>0</v>
      </c>
      <c r="M143" s="170"/>
      <c r="N143" s="101">
        <f t="shared" si="160"/>
        <v>0</v>
      </c>
      <c r="O143" s="76"/>
      <c r="P143" s="73"/>
      <c r="Q143" s="476"/>
      <c r="R143" s="451"/>
      <c r="S143" s="452"/>
      <c r="T143" s="453"/>
      <c r="U143" s="452">
        <f t="shared" si="161"/>
        <v>0</v>
      </c>
      <c r="V143" s="169"/>
      <c r="W143" s="476"/>
      <c r="X143" s="451"/>
      <c r="Y143" s="452"/>
      <c r="Z143" s="453"/>
      <c r="AA143" s="452">
        <f t="shared" si="162"/>
        <v>0</v>
      </c>
      <c r="AB143" s="169"/>
      <c r="AC143" s="476"/>
      <c r="AD143" s="451"/>
      <c r="AE143" s="452"/>
      <c r="AF143" s="453"/>
      <c r="AG143" s="452">
        <f t="shared" si="163"/>
        <v>0</v>
      </c>
      <c r="AH143" s="172"/>
      <c r="AI143" s="292">
        <f t="shared" si="164"/>
        <v>0</v>
      </c>
      <c r="AJ143" s="342"/>
      <c r="AK143" s="231">
        <f t="shared" si="165"/>
        <v>0</v>
      </c>
      <c r="AL143" s="170"/>
      <c r="AM143" s="101">
        <f t="shared" si="166"/>
        <v>0</v>
      </c>
      <c r="AN143" s="173"/>
      <c r="AO143" s="147"/>
      <c r="AP143" s="476"/>
      <c r="AQ143" s="451"/>
      <c r="AR143" s="452"/>
      <c r="AS143" s="453"/>
      <c r="AT143" s="452">
        <f t="shared" si="167"/>
        <v>0</v>
      </c>
      <c r="AU143" s="169"/>
      <c r="AV143" s="476"/>
      <c r="AW143" s="451"/>
      <c r="AX143" s="452"/>
      <c r="AY143" s="453"/>
      <c r="AZ143" s="452">
        <f t="shared" si="168"/>
        <v>0</v>
      </c>
      <c r="BA143" s="169"/>
      <c r="BB143" s="476"/>
      <c r="BC143" s="451"/>
      <c r="BD143" s="452"/>
      <c r="BE143" s="453"/>
      <c r="BF143" s="452">
        <f t="shared" si="169"/>
        <v>0</v>
      </c>
      <c r="BG143" s="172"/>
      <c r="BH143" s="292">
        <f t="shared" si="170"/>
        <v>0</v>
      </c>
      <c r="BI143" s="342"/>
      <c r="BJ143" s="273">
        <f t="shared" si="171"/>
        <v>0</v>
      </c>
      <c r="BK143" s="179"/>
      <c r="BL143" s="101">
        <f t="shared" si="172"/>
        <v>0</v>
      </c>
      <c r="BM143" s="174"/>
      <c r="BN143" s="147"/>
      <c r="BO143" s="476"/>
      <c r="BP143" s="451"/>
      <c r="BQ143" s="452"/>
      <c r="BR143" s="453"/>
      <c r="BS143" s="452">
        <f t="shared" si="173"/>
        <v>0</v>
      </c>
      <c r="BT143" s="169"/>
      <c r="BU143" s="476"/>
      <c r="BV143" s="451"/>
      <c r="BW143" s="452"/>
      <c r="BX143" s="453"/>
      <c r="BY143" s="452">
        <f t="shared" si="174"/>
        <v>0</v>
      </c>
      <c r="BZ143" s="169"/>
      <c r="CA143" s="476"/>
      <c r="CB143" s="451"/>
      <c r="CC143" s="452"/>
      <c r="CD143" s="453"/>
      <c r="CE143" s="452">
        <f t="shared" si="175"/>
        <v>0</v>
      </c>
      <c r="CF143" s="172"/>
      <c r="CG143" s="292">
        <f t="shared" si="176"/>
        <v>0</v>
      </c>
      <c r="CH143" s="342"/>
      <c r="CI143" s="273">
        <f t="shared" si="177"/>
        <v>0</v>
      </c>
      <c r="CJ143" s="179"/>
      <c r="CK143" s="101">
        <f t="shared" si="178"/>
        <v>0</v>
      </c>
      <c r="CL143" s="174"/>
      <c r="CM143" s="148"/>
      <c r="CN143" s="476"/>
      <c r="CO143" s="451"/>
      <c r="CP143" s="452"/>
      <c r="CQ143" s="453"/>
      <c r="CR143" s="452">
        <f t="shared" si="179"/>
        <v>0</v>
      </c>
      <c r="CS143" s="169"/>
      <c r="CT143" s="476"/>
      <c r="CU143" s="451"/>
      <c r="CV143" s="452"/>
      <c r="CW143" s="453"/>
      <c r="CX143" s="452">
        <f t="shared" si="180"/>
        <v>0</v>
      </c>
      <c r="CY143" s="169"/>
      <c r="CZ143" s="476"/>
      <c r="DA143" s="451"/>
      <c r="DB143" s="452"/>
      <c r="DC143" s="453"/>
      <c r="DD143" s="452">
        <f t="shared" si="181"/>
        <v>0</v>
      </c>
      <c r="DE143" s="172"/>
      <c r="DF143" s="292">
        <f t="shared" si="182"/>
        <v>0</v>
      </c>
      <c r="DG143" s="342"/>
      <c r="DH143" s="273">
        <f t="shared" si="183"/>
        <v>0</v>
      </c>
      <c r="DI143" s="179"/>
      <c r="DJ143" s="101">
        <f t="shared" si="184"/>
        <v>0</v>
      </c>
      <c r="DK143" s="37"/>
    </row>
    <row r="144" spans="1:115" s="3" customFormat="1" ht="21.75" customHeight="1" x14ac:dyDescent="0.25">
      <c r="A144" s="80">
        <v>135</v>
      </c>
      <c r="B144" s="558" t="s">
        <v>142</v>
      </c>
      <c r="C144" s="559"/>
      <c r="D144" s="559"/>
      <c r="E144" s="559"/>
      <c r="F144" s="559"/>
      <c r="G144" s="559"/>
      <c r="H144" s="559"/>
      <c r="I144" s="560"/>
      <c r="J144" s="204">
        <f t="shared" si="158"/>
        <v>0</v>
      </c>
      <c r="K144" s="170"/>
      <c r="L144" s="101">
        <f t="shared" si="159"/>
        <v>0</v>
      </c>
      <c r="M144" s="170"/>
      <c r="N144" s="101">
        <f t="shared" si="160"/>
        <v>0</v>
      </c>
      <c r="O144" s="76"/>
      <c r="P144" s="73"/>
      <c r="Q144" s="476"/>
      <c r="R144" s="451"/>
      <c r="S144" s="452"/>
      <c r="T144" s="453"/>
      <c r="U144" s="452">
        <f t="shared" si="161"/>
        <v>0</v>
      </c>
      <c r="V144" s="169"/>
      <c r="W144" s="476"/>
      <c r="X144" s="451"/>
      <c r="Y144" s="452"/>
      <c r="Z144" s="453"/>
      <c r="AA144" s="452">
        <f t="shared" si="162"/>
        <v>0</v>
      </c>
      <c r="AB144" s="169"/>
      <c r="AC144" s="476"/>
      <c r="AD144" s="451"/>
      <c r="AE144" s="452"/>
      <c r="AF144" s="453"/>
      <c r="AG144" s="452">
        <f t="shared" si="163"/>
        <v>0</v>
      </c>
      <c r="AH144" s="172"/>
      <c r="AI144" s="292">
        <f t="shared" si="164"/>
        <v>0</v>
      </c>
      <c r="AJ144" s="342"/>
      <c r="AK144" s="231">
        <f t="shared" si="165"/>
        <v>0</v>
      </c>
      <c r="AL144" s="170"/>
      <c r="AM144" s="101">
        <f t="shared" si="166"/>
        <v>0</v>
      </c>
      <c r="AN144" s="173"/>
      <c r="AO144" s="147"/>
      <c r="AP144" s="476"/>
      <c r="AQ144" s="451"/>
      <c r="AR144" s="452"/>
      <c r="AS144" s="453"/>
      <c r="AT144" s="452">
        <f t="shared" si="167"/>
        <v>0</v>
      </c>
      <c r="AU144" s="169"/>
      <c r="AV144" s="476"/>
      <c r="AW144" s="451"/>
      <c r="AX144" s="452"/>
      <c r="AY144" s="453"/>
      <c r="AZ144" s="452">
        <f t="shared" si="168"/>
        <v>0</v>
      </c>
      <c r="BA144" s="169"/>
      <c r="BB144" s="476"/>
      <c r="BC144" s="451"/>
      <c r="BD144" s="452"/>
      <c r="BE144" s="453"/>
      <c r="BF144" s="452">
        <f t="shared" si="169"/>
        <v>0</v>
      </c>
      <c r="BG144" s="172"/>
      <c r="BH144" s="292">
        <f t="shared" si="170"/>
        <v>0</v>
      </c>
      <c r="BI144" s="342"/>
      <c r="BJ144" s="273">
        <f t="shared" si="171"/>
        <v>0</v>
      </c>
      <c r="BK144" s="179"/>
      <c r="BL144" s="101">
        <f t="shared" si="172"/>
        <v>0</v>
      </c>
      <c r="BM144" s="174"/>
      <c r="BN144" s="147"/>
      <c r="BO144" s="476"/>
      <c r="BP144" s="451"/>
      <c r="BQ144" s="452"/>
      <c r="BR144" s="453"/>
      <c r="BS144" s="452">
        <f t="shared" si="173"/>
        <v>0</v>
      </c>
      <c r="BT144" s="169"/>
      <c r="BU144" s="476"/>
      <c r="BV144" s="451"/>
      <c r="BW144" s="452"/>
      <c r="BX144" s="453"/>
      <c r="BY144" s="452">
        <f t="shared" si="174"/>
        <v>0</v>
      </c>
      <c r="BZ144" s="169"/>
      <c r="CA144" s="476"/>
      <c r="CB144" s="451"/>
      <c r="CC144" s="452"/>
      <c r="CD144" s="453"/>
      <c r="CE144" s="452">
        <f t="shared" si="175"/>
        <v>0</v>
      </c>
      <c r="CF144" s="172"/>
      <c r="CG144" s="292">
        <f t="shared" si="176"/>
        <v>0</v>
      </c>
      <c r="CH144" s="342"/>
      <c r="CI144" s="273">
        <f t="shared" si="177"/>
        <v>0</v>
      </c>
      <c r="CJ144" s="179"/>
      <c r="CK144" s="101">
        <f t="shared" si="178"/>
        <v>0</v>
      </c>
      <c r="CL144" s="174"/>
      <c r="CM144" s="148"/>
      <c r="CN144" s="476"/>
      <c r="CO144" s="451"/>
      <c r="CP144" s="452"/>
      <c r="CQ144" s="453"/>
      <c r="CR144" s="452">
        <f t="shared" si="179"/>
        <v>0</v>
      </c>
      <c r="CS144" s="169"/>
      <c r="CT144" s="476"/>
      <c r="CU144" s="451"/>
      <c r="CV144" s="452"/>
      <c r="CW144" s="453"/>
      <c r="CX144" s="452">
        <f t="shared" si="180"/>
        <v>0</v>
      </c>
      <c r="CY144" s="169"/>
      <c r="CZ144" s="476"/>
      <c r="DA144" s="451"/>
      <c r="DB144" s="452"/>
      <c r="DC144" s="453"/>
      <c r="DD144" s="452">
        <f t="shared" si="181"/>
        <v>0</v>
      </c>
      <c r="DE144" s="172"/>
      <c r="DF144" s="292">
        <f t="shared" si="182"/>
        <v>0</v>
      </c>
      <c r="DG144" s="342"/>
      <c r="DH144" s="273">
        <f t="shared" si="183"/>
        <v>0</v>
      </c>
      <c r="DI144" s="179"/>
      <c r="DJ144" s="101">
        <f t="shared" si="184"/>
        <v>0</v>
      </c>
      <c r="DK144" s="37"/>
    </row>
    <row r="145" spans="1:115" s="3" customFormat="1" ht="21.75" customHeight="1" thickBot="1" x14ac:dyDescent="0.3">
      <c r="A145" s="80">
        <v>136</v>
      </c>
      <c r="B145" s="561" t="s">
        <v>143</v>
      </c>
      <c r="C145" s="562"/>
      <c r="D145" s="562"/>
      <c r="E145" s="562"/>
      <c r="F145" s="562"/>
      <c r="G145" s="562"/>
      <c r="H145" s="562"/>
      <c r="I145" s="563"/>
      <c r="J145" s="205">
        <f t="shared" si="158"/>
        <v>0</v>
      </c>
      <c r="K145" s="176"/>
      <c r="L145" s="105">
        <f t="shared" si="159"/>
        <v>0</v>
      </c>
      <c r="M145" s="176"/>
      <c r="N145" s="105">
        <f t="shared" si="160"/>
        <v>0</v>
      </c>
      <c r="O145" s="76"/>
      <c r="P145" s="73"/>
      <c r="Q145" s="477"/>
      <c r="R145" s="454"/>
      <c r="S145" s="455"/>
      <c r="T145" s="456"/>
      <c r="U145" s="452">
        <f t="shared" si="161"/>
        <v>0</v>
      </c>
      <c r="V145" s="171"/>
      <c r="W145" s="477"/>
      <c r="X145" s="454"/>
      <c r="Y145" s="455"/>
      <c r="Z145" s="456"/>
      <c r="AA145" s="452">
        <f t="shared" si="162"/>
        <v>0</v>
      </c>
      <c r="AB145" s="171"/>
      <c r="AC145" s="477"/>
      <c r="AD145" s="454"/>
      <c r="AE145" s="455"/>
      <c r="AF145" s="456"/>
      <c r="AG145" s="452">
        <f t="shared" si="163"/>
        <v>0</v>
      </c>
      <c r="AH145" s="175"/>
      <c r="AI145" s="293">
        <f t="shared" si="164"/>
        <v>0</v>
      </c>
      <c r="AJ145" s="343"/>
      <c r="AK145" s="233">
        <f t="shared" si="165"/>
        <v>0</v>
      </c>
      <c r="AL145" s="176"/>
      <c r="AM145" s="101">
        <f t="shared" si="166"/>
        <v>0</v>
      </c>
      <c r="AN145" s="173"/>
      <c r="AO145" s="147"/>
      <c r="AP145" s="477"/>
      <c r="AQ145" s="454"/>
      <c r="AR145" s="455"/>
      <c r="AS145" s="456"/>
      <c r="AT145" s="452">
        <f t="shared" si="167"/>
        <v>0</v>
      </c>
      <c r="AU145" s="171"/>
      <c r="AV145" s="477"/>
      <c r="AW145" s="454"/>
      <c r="AX145" s="455"/>
      <c r="AY145" s="456"/>
      <c r="AZ145" s="452">
        <f t="shared" si="168"/>
        <v>0</v>
      </c>
      <c r="BA145" s="171"/>
      <c r="BB145" s="477"/>
      <c r="BC145" s="454"/>
      <c r="BD145" s="455"/>
      <c r="BE145" s="456"/>
      <c r="BF145" s="452">
        <f t="shared" si="169"/>
        <v>0</v>
      </c>
      <c r="BG145" s="175"/>
      <c r="BH145" s="293">
        <f t="shared" si="170"/>
        <v>0</v>
      </c>
      <c r="BI145" s="343"/>
      <c r="BJ145" s="233">
        <f t="shared" si="171"/>
        <v>0</v>
      </c>
      <c r="BK145" s="176"/>
      <c r="BL145" s="101">
        <f t="shared" si="172"/>
        <v>0</v>
      </c>
      <c r="BM145" s="174"/>
      <c r="BN145" s="147"/>
      <c r="BO145" s="477"/>
      <c r="BP145" s="454"/>
      <c r="BQ145" s="455"/>
      <c r="BR145" s="456"/>
      <c r="BS145" s="452">
        <f t="shared" si="173"/>
        <v>0</v>
      </c>
      <c r="BT145" s="171"/>
      <c r="BU145" s="477"/>
      <c r="BV145" s="454"/>
      <c r="BW145" s="455"/>
      <c r="BX145" s="456"/>
      <c r="BY145" s="452">
        <f t="shared" si="174"/>
        <v>0</v>
      </c>
      <c r="BZ145" s="171"/>
      <c r="CA145" s="477"/>
      <c r="CB145" s="454"/>
      <c r="CC145" s="455"/>
      <c r="CD145" s="456"/>
      <c r="CE145" s="452">
        <f t="shared" si="175"/>
        <v>0</v>
      </c>
      <c r="CF145" s="175"/>
      <c r="CG145" s="293">
        <f t="shared" si="176"/>
        <v>0</v>
      </c>
      <c r="CH145" s="343"/>
      <c r="CI145" s="233">
        <f t="shared" si="177"/>
        <v>0</v>
      </c>
      <c r="CJ145" s="176"/>
      <c r="CK145" s="101">
        <f t="shared" si="178"/>
        <v>0</v>
      </c>
      <c r="CL145" s="174"/>
      <c r="CM145" s="148"/>
      <c r="CN145" s="477"/>
      <c r="CO145" s="454"/>
      <c r="CP145" s="455"/>
      <c r="CQ145" s="456"/>
      <c r="CR145" s="452">
        <f t="shared" si="179"/>
        <v>0</v>
      </c>
      <c r="CS145" s="171"/>
      <c r="CT145" s="477"/>
      <c r="CU145" s="454"/>
      <c r="CV145" s="455"/>
      <c r="CW145" s="456"/>
      <c r="CX145" s="452">
        <f t="shared" si="180"/>
        <v>0</v>
      </c>
      <c r="CY145" s="171"/>
      <c r="CZ145" s="477"/>
      <c r="DA145" s="454"/>
      <c r="DB145" s="455"/>
      <c r="DC145" s="456"/>
      <c r="DD145" s="452">
        <f t="shared" si="181"/>
        <v>0</v>
      </c>
      <c r="DE145" s="175"/>
      <c r="DF145" s="293">
        <f t="shared" si="182"/>
        <v>0</v>
      </c>
      <c r="DG145" s="343"/>
      <c r="DH145" s="233">
        <f t="shared" si="183"/>
        <v>0</v>
      </c>
      <c r="DI145" s="176"/>
      <c r="DJ145" s="101">
        <f t="shared" si="184"/>
        <v>0</v>
      </c>
      <c r="DK145" s="37"/>
    </row>
    <row r="146" spans="1:115" s="3" customFormat="1" ht="21.75" customHeight="1" x14ac:dyDescent="0.25">
      <c r="A146" s="80">
        <v>137</v>
      </c>
      <c r="B146" s="564" t="s">
        <v>144</v>
      </c>
      <c r="C146" s="565"/>
      <c r="D146" s="565"/>
      <c r="E146" s="565"/>
      <c r="F146" s="565"/>
      <c r="G146" s="565"/>
      <c r="H146" s="565"/>
      <c r="I146" s="566"/>
      <c r="J146" s="350" t="str">
        <f>IF(ISERROR(J138/J20),"",J138/J20)</f>
        <v/>
      </c>
      <c r="K146" s="183"/>
      <c r="L146" s="350" t="str">
        <f>IF(ISERROR(L138/L20),"",L138/L20)</f>
        <v/>
      </c>
      <c r="M146" s="183"/>
      <c r="N146" s="183"/>
      <c r="O146" s="184"/>
      <c r="P146" s="185"/>
      <c r="Q146" s="457" t="str">
        <f>IF(ISERROR(Q138/Q20),"",Q138/Q20)</f>
        <v/>
      </c>
      <c r="R146" s="440"/>
      <c r="S146" s="458" t="str">
        <f>IF(ISERROR(S138/S20),"",S138/S20)</f>
        <v/>
      </c>
      <c r="T146" s="441"/>
      <c r="U146" s="458"/>
      <c r="V146" s="187"/>
      <c r="W146" s="457" t="str">
        <f>IF(ISERROR(W138/W20),"",W138/W20)</f>
        <v/>
      </c>
      <c r="X146" s="440"/>
      <c r="Y146" s="458" t="str">
        <f>IF(ISERROR(Y138/Y20),"",Y138/Y20)</f>
        <v/>
      </c>
      <c r="Z146" s="441"/>
      <c r="AA146" s="458"/>
      <c r="AB146" s="187"/>
      <c r="AC146" s="457" t="str">
        <f>IF(ISERROR(AC138/AC20),"",AC138/AC20)</f>
        <v/>
      </c>
      <c r="AD146" s="440"/>
      <c r="AE146" s="458" t="str">
        <f>IF(ISERROR(AE138/AE20),"",AE138/AE20)</f>
        <v/>
      </c>
      <c r="AF146" s="441"/>
      <c r="AG146" s="458"/>
      <c r="AH146" s="188" t="e">
        <f t="shared" ref="AH146:AH151" si="185">AE146-AF146</f>
        <v>#VALUE!</v>
      </c>
      <c r="AI146" s="347" t="str">
        <f>IF(ISERROR(AI138/AI20),"",AI138/AI20)</f>
        <v/>
      </c>
      <c r="AJ146" s="338"/>
      <c r="AK146" s="350" t="str">
        <f>IF(ISERROR(AK138/AK20),"",AK138/AK20)</f>
        <v/>
      </c>
      <c r="AL146" s="183"/>
      <c r="AM146" s="350"/>
      <c r="AN146" s="187"/>
      <c r="AO146" s="189"/>
      <c r="AP146" s="457" t="str">
        <f>IF(ISERROR(AP138/AP20),"",AP138/AP20)</f>
        <v/>
      </c>
      <c r="AQ146" s="440"/>
      <c r="AR146" s="458" t="str">
        <f>IF(ISERROR(AR138/AR20),"",AR138/AR20)</f>
        <v/>
      </c>
      <c r="AS146" s="441"/>
      <c r="AT146" s="458"/>
      <c r="AU146" s="187"/>
      <c r="AV146" s="457" t="str">
        <f>IF(ISERROR(AV138/AV20),"",AV138/AV20)</f>
        <v/>
      </c>
      <c r="AW146" s="440"/>
      <c r="AX146" s="458" t="str">
        <f>IF(ISERROR(AX138/AX20),"",AX138/AX20)</f>
        <v/>
      </c>
      <c r="AY146" s="441"/>
      <c r="AZ146" s="458"/>
      <c r="BA146" s="187"/>
      <c r="BB146" s="457" t="str">
        <f>IF(ISERROR(BB138/BB20),"",BB138/BB20)</f>
        <v/>
      </c>
      <c r="BC146" s="440"/>
      <c r="BD146" s="458" t="str">
        <f>IF(ISERROR(BD138/BD20),"",BD138/BD20)</f>
        <v/>
      </c>
      <c r="BE146" s="441"/>
      <c r="BF146" s="458"/>
      <c r="BG146" s="188" t="e">
        <f t="shared" ref="BG146:BG151" si="186">BD146-BE146</f>
        <v>#VALUE!</v>
      </c>
      <c r="BH146" s="347" t="str">
        <f>IF(ISERROR(BH138/BH20),"",BH138/BH20)</f>
        <v/>
      </c>
      <c r="BI146" s="338"/>
      <c r="BJ146" s="350" t="str">
        <f>IF(ISERROR(BJ138/BJ20),"",BJ138/BJ20)</f>
        <v/>
      </c>
      <c r="BK146" s="183"/>
      <c r="BL146" s="350"/>
      <c r="BM146" s="186"/>
      <c r="BN146" s="189"/>
      <c r="BO146" s="457" t="str">
        <f>IF(ISERROR(BO138/BO20),"",BO138/BO20)</f>
        <v/>
      </c>
      <c r="BP146" s="440"/>
      <c r="BQ146" s="458" t="str">
        <f>IF(ISERROR(BQ138/BQ20),"",BQ138/BQ20)</f>
        <v/>
      </c>
      <c r="BR146" s="441"/>
      <c r="BS146" s="458"/>
      <c r="BT146" s="187"/>
      <c r="BU146" s="457" t="str">
        <f>IF(ISERROR(BU138/BU20),"",BU138/BU20)</f>
        <v/>
      </c>
      <c r="BV146" s="440"/>
      <c r="BW146" s="458" t="str">
        <f>IF(ISERROR(BW138/BW20),"",BW138/BW20)</f>
        <v/>
      </c>
      <c r="BX146" s="441"/>
      <c r="BY146" s="458"/>
      <c r="BZ146" s="187"/>
      <c r="CA146" s="457" t="str">
        <f>IF(ISERROR(CA138/CA20),"",CA138/CA20)</f>
        <v/>
      </c>
      <c r="CB146" s="440"/>
      <c r="CC146" s="458" t="str">
        <f>IF(ISERROR(CC138/CC20),"",CC138/CC20)</f>
        <v/>
      </c>
      <c r="CD146" s="441"/>
      <c r="CE146" s="458"/>
      <c r="CF146" s="188" t="e">
        <f t="shared" ref="CF146:CF151" si="187">CC146-CD146</f>
        <v>#VALUE!</v>
      </c>
      <c r="CG146" s="347" t="str">
        <f>IF(ISERROR(CG138/CG20),"",CG138/CG20)</f>
        <v/>
      </c>
      <c r="CH146" s="338"/>
      <c r="CI146" s="350" t="str">
        <f>IF(ISERROR(CI138/CI20),"",CI138/CI20)</f>
        <v/>
      </c>
      <c r="CJ146" s="183"/>
      <c r="CK146" s="350"/>
      <c r="CL146" s="186"/>
      <c r="CM146" s="191"/>
      <c r="CN146" s="457" t="str">
        <f>IF(ISERROR(CN138/CN20),"",CN138/CN20)</f>
        <v/>
      </c>
      <c r="CO146" s="440"/>
      <c r="CP146" s="458" t="str">
        <f>IF(ISERROR(CP138/CP20),"",CP138/CP20)</f>
        <v/>
      </c>
      <c r="CQ146" s="441"/>
      <c r="CR146" s="458"/>
      <c r="CS146" s="187"/>
      <c r="CT146" s="457" t="str">
        <f>IF(ISERROR(CT138/CT20),"",CT138/CT20)</f>
        <v/>
      </c>
      <c r="CU146" s="440"/>
      <c r="CV146" s="458" t="str">
        <f>IF(ISERROR(CV138/CV20),"",CV138/CV20)</f>
        <v/>
      </c>
      <c r="CW146" s="441"/>
      <c r="CX146" s="458"/>
      <c r="CY146" s="187"/>
      <c r="CZ146" s="457" t="str">
        <f>IF(ISERROR(CZ138/CZ20),"",CZ138/CZ20)</f>
        <v/>
      </c>
      <c r="DA146" s="440"/>
      <c r="DB146" s="458" t="str">
        <f>IF(ISERROR(DB138/DB20),"",DB138/DB20)</f>
        <v/>
      </c>
      <c r="DC146" s="441"/>
      <c r="DD146" s="458"/>
      <c r="DE146" s="188" t="e">
        <f t="shared" ref="DE146:DE151" si="188">DB146-DC146</f>
        <v>#VALUE!</v>
      </c>
      <c r="DF146" s="347" t="str">
        <f>IF(ISERROR(DF138/DF20),"",DF138/DF20)</f>
        <v/>
      </c>
      <c r="DG146" s="338"/>
      <c r="DH146" s="350" t="str">
        <f>IF(ISERROR(DH138/DH20),"",DH138/DH20)</f>
        <v/>
      </c>
      <c r="DI146" s="183"/>
      <c r="DJ146" s="350"/>
      <c r="DK146" s="30"/>
    </row>
    <row r="147" spans="1:115" s="3" customFormat="1" ht="21.75" customHeight="1" x14ac:dyDescent="0.25">
      <c r="A147" s="80">
        <v>138</v>
      </c>
      <c r="B147" s="552" t="s">
        <v>145</v>
      </c>
      <c r="C147" s="553"/>
      <c r="D147" s="553"/>
      <c r="E147" s="553"/>
      <c r="F147" s="553"/>
      <c r="G147" s="553"/>
      <c r="H147" s="553"/>
      <c r="I147" s="554"/>
      <c r="J147" s="351" t="str">
        <f>IF(ISERROR(J140/J139),"",J140/J139)</f>
        <v/>
      </c>
      <c r="K147" s="192"/>
      <c r="L147" s="351" t="str">
        <f>IF(ISERROR(L140/L139),"",L140/L139)</f>
        <v/>
      </c>
      <c r="M147" s="192"/>
      <c r="N147" s="192"/>
      <c r="O147" s="193"/>
      <c r="P147" s="185"/>
      <c r="Q147" s="459" t="str">
        <f>IF(ISERROR(Q140/Q139),"",Q140/Q139)</f>
        <v/>
      </c>
      <c r="R147" s="460"/>
      <c r="S147" s="461" t="str">
        <f>IF(ISERROR(S140/S139),"",S140/S139)</f>
        <v/>
      </c>
      <c r="T147" s="444"/>
      <c r="U147" s="461"/>
      <c r="V147" s="195"/>
      <c r="W147" s="459" t="str">
        <f>IF(ISERROR(W140/W139),"",W140/W139)</f>
        <v/>
      </c>
      <c r="X147" s="460"/>
      <c r="Y147" s="461" t="str">
        <f>IF(ISERROR(Y140/Y139),"",Y140/Y139)</f>
        <v/>
      </c>
      <c r="Z147" s="444"/>
      <c r="AA147" s="461"/>
      <c r="AB147" s="195"/>
      <c r="AC147" s="459" t="str">
        <f>IF(ISERROR(AC140/AC139),"",AC140/AC139)</f>
        <v/>
      </c>
      <c r="AD147" s="460"/>
      <c r="AE147" s="461" t="str">
        <f>IF(ISERROR(AE140/AE139),"",AE140/AE139)</f>
        <v/>
      </c>
      <c r="AF147" s="444"/>
      <c r="AG147" s="461"/>
      <c r="AH147" s="196" t="e">
        <f t="shared" si="185"/>
        <v>#VALUE!</v>
      </c>
      <c r="AI147" s="348" t="str">
        <f>IF(ISERROR(AI140/AI139),"",AI140/AI139)</f>
        <v/>
      </c>
      <c r="AJ147" s="344"/>
      <c r="AK147" s="351" t="str">
        <f>IF(ISERROR(AK140/AK139),"",AK140/AK139)</f>
        <v/>
      </c>
      <c r="AL147" s="192"/>
      <c r="AM147" s="351"/>
      <c r="AN147" s="195"/>
      <c r="AO147" s="189"/>
      <c r="AP147" s="459" t="str">
        <f>IF(ISERROR(AP140/AP139),"",AP140/AP139)</f>
        <v/>
      </c>
      <c r="AQ147" s="460"/>
      <c r="AR147" s="461" t="str">
        <f>IF(ISERROR(AR140/AR139),"",AR140/AR139)</f>
        <v/>
      </c>
      <c r="AS147" s="444"/>
      <c r="AT147" s="461"/>
      <c r="AU147" s="195"/>
      <c r="AV147" s="459" t="str">
        <f>IF(ISERROR(AV140/AV139),"",AV140/AV139)</f>
        <v/>
      </c>
      <c r="AW147" s="460"/>
      <c r="AX147" s="461" t="str">
        <f>IF(ISERROR(AX140/AX139),"",AX140/AX139)</f>
        <v/>
      </c>
      <c r="AY147" s="444"/>
      <c r="AZ147" s="461"/>
      <c r="BA147" s="195"/>
      <c r="BB147" s="459" t="str">
        <f>IF(ISERROR(BB140/BB139),"",BB140/BB139)</f>
        <v/>
      </c>
      <c r="BC147" s="460"/>
      <c r="BD147" s="461" t="str">
        <f>IF(ISERROR(BD140/BD139),"",BD140/BD139)</f>
        <v/>
      </c>
      <c r="BE147" s="444"/>
      <c r="BF147" s="461"/>
      <c r="BG147" s="196" t="e">
        <f t="shared" si="186"/>
        <v>#VALUE!</v>
      </c>
      <c r="BH147" s="348" t="str">
        <f>IF(ISERROR(BH140/BH139),"",BH140/BH139)</f>
        <v/>
      </c>
      <c r="BI147" s="344"/>
      <c r="BJ147" s="351" t="str">
        <f>IF(ISERROR(BJ140/BJ139),"",BJ140/BJ139)</f>
        <v/>
      </c>
      <c r="BK147" s="192"/>
      <c r="BL147" s="351"/>
      <c r="BM147" s="194"/>
      <c r="BN147" s="189"/>
      <c r="BO147" s="459" t="str">
        <f>IF(ISERROR(BO140/BO139),"",BO140/BO139)</f>
        <v/>
      </c>
      <c r="BP147" s="460"/>
      <c r="BQ147" s="461" t="str">
        <f>IF(ISERROR(BQ140/BQ139),"",BQ140/BQ139)</f>
        <v/>
      </c>
      <c r="BR147" s="444"/>
      <c r="BS147" s="461"/>
      <c r="BT147" s="195"/>
      <c r="BU147" s="459" t="str">
        <f>IF(ISERROR(BU140/BU139),"",BU140/BU139)</f>
        <v/>
      </c>
      <c r="BV147" s="460"/>
      <c r="BW147" s="461" t="str">
        <f>IF(ISERROR(BW140/BW139),"",BW140/BW139)</f>
        <v/>
      </c>
      <c r="BX147" s="444"/>
      <c r="BY147" s="461"/>
      <c r="BZ147" s="195"/>
      <c r="CA147" s="459" t="str">
        <f>IF(ISERROR(CA140/CA139),"",CA140/CA139)</f>
        <v/>
      </c>
      <c r="CB147" s="460"/>
      <c r="CC147" s="461" t="str">
        <f>IF(ISERROR(CC140/CC139),"",CC140/CC139)</f>
        <v/>
      </c>
      <c r="CD147" s="444"/>
      <c r="CE147" s="461"/>
      <c r="CF147" s="196" t="e">
        <f t="shared" si="187"/>
        <v>#VALUE!</v>
      </c>
      <c r="CG147" s="348" t="str">
        <f>IF(ISERROR(CG140/CG139),"",CG140/CG139)</f>
        <v/>
      </c>
      <c r="CH147" s="344"/>
      <c r="CI147" s="351" t="str">
        <f>IF(ISERROR(CI140/CI139),"",CI140/CI139)</f>
        <v/>
      </c>
      <c r="CJ147" s="192"/>
      <c r="CK147" s="351"/>
      <c r="CL147" s="194"/>
      <c r="CM147" s="191"/>
      <c r="CN147" s="459" t="str">
        <f>IF(ISERROR(CN140/CN139),"",CN140/CN139)</f>
        <v/>
      </c>
      <c r="CO147" s="460"/>
      <c r="CP147" s="461" t="str">
        <f>IF(ISERROR(CP140/CP139),"",CP140/CP139)</f>
        <v/>
      </c>
      <c r="CQ147" s="444"/>
      <c r="CR147" s="461"/>
      <c r="CS147" s="195"/>
      <c r="CT147" s="459" t="str">
        <f>IF(ISERROR(CT140/CT139),"",CT140/CT139)</f>
        <v/>
      </c>
      <c r="CU147" s="460"/>
      <c r="CV147" s="461" t="str">
        <f>IF(ISERROR(CV140/CV139),"",CV140/CV139)</f>
        <v/>
      </c>
      <c r="CW147" s="444"/>
      <c r="CX147" s="461"/>
      <c r="CY147" s="195"/>
      <c r="CZ147" s="459" t="str">
        <f>IF(ISERROR(CZ140/CZ139),"",CZ140/CZ139)</f>
        <v/>
      </c>
      <c r="DA147" s="460"/>
      <c r="DB147" s="461" t="str">
        <f>IF(ISERROR(DB140/DB139),"",DB140/DB139)</f>
        <v/>
      </c>
      <c r="DC147" s="444"/>
      <c r="DD147" s="461"/>
      <c r="DE147" s="196" t="e">
        <f t="shared" si="188"/>
        <v>#VALUE!</v>
      </c>
      <c r="DF147" s="348" t="str">
        <f>IF(ISERROR(DF140/DF139),"",DF140/DF139)</f>
        <v/>
      </c>
      <c r="DG147" s="344"/>
      <c r="DH147" s="351" t="str">
        <f>IF(ISERROR(DH140/DH139),"",DH140/DH139)</f>
        <v/>
      </c>
      <c r="DI147" s="192"/>
      <c r="DJ147" s="351"/>
      <c r="DK147" s="32"/>
    </row>
    <row r="148" spans="1:115" s="3" customFormat="1" ht="21.75" customHeight="1" x14ac:dyDescent="0.25">
      <c r="A148" s="80">
        <v>139</v>
      </c>
      <c r="B148" s="552" t="s">
        <v>146</v>
      </c>
      <c r="C148" s="553"/>
      <c r="D148" s="553"/>
      <c r="E148" s="553"/>
      <c r="F148" s="553"/>
      <c r="G148" s="553"/>
      <c r="H148" s="553"/>
      <c r="I148" s="554"/>
      <c r="J148" s="351" t="str">
        <f>IF(ISERROR((J138+J140)/J15*12),"",(J138+J140)/J15*12)</f>
        <v/>
      </c>
      <c r="K148" s="192"/>
      <c r="L148" s="351" t="str">
        <f>IF(ISERROR((L138+L140)/L15*12),"",(L138+L140)/L15*12)</f>
        <v/>
      </c>
      <c r="M148" s="192"/>
      <c r="N148" s="192"/>
      <c r="O148" s="193"/>
      <c r="P148" s="185"/>
      <c r="Q148" s="459" t="str">
        <f>IF(ISERROR((Q138+Q140)/Q15*12),"",(Q138+Q140)/Q15*12)</f>
        <v/>
      </c>
      <c r="R148" s="460"/>
      <c r="S148" s="461" t="str">
        <f>IF(ISERROR((S138+S140)/S15*12),"",(S138+S140)/S15*12)</f>
        <v/>
      </c>
      <c r="T148" s="444"/>
      <c r="U148" s="461"/>
      <c r="V148" s="195"/>
      <c r="W148" s="459" t="str">
        <f>IF(ISERROR((W138+W140)/W15*12),"",(W138+W140)/W15*12)</f>
        <v/>
      </c>
      <c r="X148" s="460"/>
      <c r="Y148" s="461" t="str">
        <f>IF(ISERROR((Y138+Y140)/Y15*12),"",(Y138+Y140)/Y15*12)</f>
        <v/>
      </c>
      <c r="Z148" s="444"/>
      <c r="AA148" s="461"/>
      <c r="AB148" s="195"/>
      <c r="AC148" s="459" t="str">
        <f>IF(ISERROR((AC138+AC140)/AC15*12),"",(AC138+AC140)/AC15*12)</f>
        <v/>
      </c>
      <c r="AD148" s="460"/>
      <c r="AE148" s="461" t="str">
        <f>IF(ISERROR((AE138+AE140)/AE15*12),"",(AE138+AE140)/AE15*12)</f>
        <v/>
      </c>
      <c r="AF148" s="444"/>
      <c r="AG148" s="461"/>
      <c r="AH148" s="196" t="e">
        <f t="shared" si="185"/>
        <v>#VALUE!</v>
      </c>
      <c r="AI148" s="348" t="str">
        <f>IF(ISERROR((AI138+AI140)/AI15*12),"",(AI138+AI140)/AI15*12)</f>
        <v/>
      </c>
      <c r="AJ148" s="344"/>
      <c r="AK148" s="351" t="str">
        <f>IF(ISERROR((AK138+AK140)/AK15*12),"",(AK138+AK140)/AK15*12)</f>
        <v/>
      </c>
      <c r="AL148" s="192"/>
      <c r="AM148" s="351"/>
      <c r="AN148" s="195"/>
      <c r="AO148" s="189"/>
      <c r="AP148" s="459" t="str">
        <f>IF(ISERROR((AP138+AP140)/AP15*12),"",(AP138+AP140)/AP15*12)</f>
        <v/>
      </c>
      <c r="AQ148" s="460"/>
      <c r="AR148" s="461" t="str">
        <f>IF(ISERROR((AR138+AR140)/AR15*12),"",(AR138+AR140)/AR15*12)</f>
        <v/>
      </c>
      <c r="AS148" s="444"/>
      <c r="AT148" s="461"/>
      <c r="AU148" s="195"/>
      <c r="AV148" s="459" t="str">
        <f>IF(ISERROR((AV138+AV140)/AV15*12),"",(AV138+AV140)/AV15*12)</f>
        <v/>
      </c>
      <c r="AW148" s="460"/>
      <c r="AX148" s="461" t="str">
        <f>IF(ISERROR((AX138+AX140)/AX15*12),"",(AX138+AX140)/AX15*12)</f>
        <v/>
      </c>
      <c r="AY148" s="444"/>
      <c r="AZ148" s="461"/>
      <c r="BA148" s="195"/>
      <c r="BB148" s="459" t="str">
        <f>IF(ISERROR((BB138+BB140)/BB15*12),"",(BB138+BB140)/BB15*12)</f>
        <v/>
      </c>
      <c r="BC148" s="460"/>
      <c r="BD148" s="461" t="str">
        <f>IF(ISERROR((BD138+BD140)/BD15*12),"",(BD138+BD140)/BD15*12)</f>
        <v/>
      </c>
      <c r="BE148" s="444"/>
      <c r="BF148" s="461"/>
      <c r="BG148" s="196" t="e">
        <f t="shared" si="186"/>
        <v>#VALUE!</v>
      </c>
      <c r="BH148" s="348" t="str">
        <f>IF(ISERROR((BH138+BH140)/BH15*12),"",(BH138+BH140)/BH15*12)</f>
        <v/>
      </c>
      <c r="BI148" s="344"/>
      <c r="BJ148" s="351" t="str">
        <f>IF(ISERROR((BJ138+BJ140)/BJ15*12),"",(BJ138+BJ140)/BJ15*12)</f>
        <v/>
      </c>
      <c r="BK148" s="192"/>
      <c r="BL148" s="351"/>
      <c r="BM148" s="194"/>
      <c r="BN148" s="189"/>
      <c r="BO148" s="459" t="str">
        <f>IF(ISERROR((BO138+BO140)/BO15*12),"",(BO138+BO140)/BO15*12)</f>
        <v/>
      </c>
      <c r="BP148" s="460"/>
      <c r="BQ148" s="461" t="str">
        <f>IF(ISERROR((BQ138+BQ140)/BQ15*12),"",(BQ138+BQ140)/BQ15*12)</f>
        <v/>
      </c>
      <c r="BR148" s="444"/>
      <c r="BS148" s="461"/>
      <c r="BT148" s="195"/>
      <c r="BU148" s="459" t="str">
        <f>IF(ISERROR((BU138+BU140)/BU15*12),"",(BU138+BU140)/BU15*12)</f>
        <v/>
      </c>
      <c r="BV148" s="460"/>
      <c r="BW148" s="461" t="str">
        <f>IF(ISERROR((BW138+BW140)/BW15*12),"",(BW138+BW140)/BW15*12)</f>
        <v/>
      </c>
      <c r="BX148" s="444"/>
      <c r="BY148" s="461"/>
      <c r="BZ148" s="195"/>
      <c r="CA148" s="459" t="str">
        <f>IF(ISERROR((CA138+CA140)/CA15*12),"",(CA138+CA140)/CA15*12)</f>
        <v/>
      </c>
      <c r="CB148" s="460"/>
      <c r="CC148" s="461" t="str">
        <f>IF(ISERROR((CC138+CC140)/CC15*12),"",(CC138+CC140)/CC15*12)</f>
        <v/>
      </c>
      <c r="CD148" s="444"/>
      <c r="CE148" s="461"/>
      <c r="CF148" s="196" t="e">
        <f t="shared" si="187"/>
        <v>#VALUE!</v>
      </c>
      <c r="CG148" s="348" t="str">
        <f>IF(ISERROR((CG138+CG140)/CG15*12),"",(CG138+CG140)/CG15*12)</f>
        <v/>
      </c>
      <c r="CH148" s="344"/>
      <c r="CI148" s="351" t="str">
        <f>IF(ISERROR((CI138+CI140)/CI15*12),"",(CI138+CI140)/CI15*12)</f>
        <v/>
      </c>
      <c r="CJ148" s="192"/>
      <c r="CK148" s="351"/>
      <c r="CL148" s="194"/>
      <c r="CM148" s="191"/>
      <c r="CN148" s="459" t="str">
        <f>IF(ISERROR((CN138+CN140)/CN15*12),"",(CN138+CN140)/CN15*12)</f>
        <v/>
      </c>
      <c r="CO148" s="460"/>
      <c r="CP148" s="461" t="str">
        <f>IF(ISERROR((CP138+CP140)/CP15*12),"",(CP138+CP140)/CP15*12)</f>
        <v/>
      </c>
      <c r="CQ148" s="444"/>
      <c r="CR148" s="461"/>
      <c r="CS148" s="195"/>
      <c r="CT148" s="459" t="str">
        <f>IF(ISERROR((CT138+CT140)/CT15*12),"",(CT138+CT140)/CT15*12)</f>
        <v/>
      </c>
      <c r="CU148" s="460"/>
      <c r="CV148" s="461" t="str">
        <f>IF(ISERROR((CV138+CV140)/CV15*12),"",(CV138+CV140)/CV15*12)</f>
        <v/>
      </c>
      <c r="CW148" s="444"/>
      <c r="CX148" s="461"/>
      <c r="CY148" s="195"/>
      <c r="CZ148" s="459" t="str">
        <f>IF(ISERROR((CZ138+CZ140)/CZ15*12),"",(CZ138+CZ140)/CZ15*12)</f>
        <v/>
      </c>
      <c r="DA148" s="460"/>
      <c r="DB148" s="461" t="str">
        <f>IF(ISERROR((DB138+DB140)/DB15*12),"",(DB138+DB140)/DB15*12)</f>
        <v/>
      </c>
      <c r="DC148" s="444"/>
      <c r="DD148" s="461"/>
      <c r="DE148" s="196" t="e">
        <f t="shared" si="188"/>
        <v>#VALUE!</v>
      </c>
      <c r="DF148" s="348" t="str">
        <f>IF(ISERROR((DF138+DF140)/DF15*12),"",(DF138+DF140)/DF15*12)</f>
        <v/>
      </c>
      <c r="DG148" s="344"/>
      <c r="DH148" s="351" t="str">
        <f>IF(ISERROR((DH138+DH140)/DH15*12),"",(DH138+DH140)/DH15*12)</f>
        <v/>
      </c>
      <c r="DI148" s="192"/>
      <c r="DJ148" s="351"/>
      <c r="DK148" s="32"/>
    </row>
    <row r="149" spans="1:115" s="3" customFormat="1" ht="21.75" customHeight="1" x14ac:dyDescent="0.25">
      <c r="A149" s="80">
        <v>140</v>
      </c>
      <c r="B149" s="552" t="s">
        <v>147</v>
      </c>
      <c r="C149" s="553"/>
      <c r="D149" s="553"/>
      <c r="E149" s="553"/>
      <c r="F149" s="553"/>
      <c r="G149" s="553"/>
      <c r="H149" s="553"/>
      <c r="I149" s="554"/>
      <c r="J149" s="351" t="str">
        <f>IF(ISERROR(J141/(J138+J140)),"",J141/(J138+J140))</f>
        <v/>
      </c>
      <c r="K149" s="192"/>
      <c r="L149" s="351" t="str">
        <f>IF(ISERROR(L141/(L138+L140)),"",L141/(L138+L140))</f>
        <v/>
      </c>
      <c r="M149" s="192"/>
      <c r="N149" s="192"/>
      <c r="O149" s="193"/>
      <c r="P149" s="185"/>
      <c r="Q149" s="459" t="str">
        <f>IF(ISERROR(Q141/(Q138+Q140)),"",Q141/(Q138+Q140))</f>
        <v/>
      </c>
      <c r="R149" s="460"/>
      <c r="S149" s="461" t="str">
        <f>IF(ISERROR(S141/(S138+S140)),"",S141/(S138+S140))</f>
        <v/>
      </c>
      <c r="T149" s="444"/>
      <c r="U149" s="461"/>
      <c r="V149" s="195"/>
      <c r="W149" s="459" t="str">
        <f>IF(ISERROR(W141/(W138+W140)),"",W141/(W138+W140))</f>
        <v/>
      </c>
      <c r="X149" s="460"/>
      <c r="Y149" s="461" t="str">
        <f>IF(ISERROR(Y141/(Y138+Y140)),"",Y141/(Y138+Y140))</f>
        <v/>
      </c>
      <c r="Z149" s="444"/>
      <c r="AA149" s="461"/>
      <c r="AB149" s="195"/>
      <c r="AC149" s="459" t="str">
        <f>IF(ISERROR(AC141/(AC138+AC140)),"",AC141/(AC138+AC140))</f>
        <v/>
      </c>
      <c r="AD149" s="460"/>
      <c r="AE149" s="461" t="str">
        <f>IF(ISERROR(AE141/(AE138+AE140)),"",AE141/(AE138+AE140))</f>
        <v/>
      </c>
      <c r="AF149" s="444"/>
      <c r="AG149" s="461"/>
      <c r="AH149" s="196" t="e">
        <f t="shared" si="185"/>
        <v>#VALUE!</v>
      </c>
      <c r="AI149" s="348" t="str">
        <f>IF(ISERROR(AI141/(AI138+AI140)),"",AI141/(AI138+AI140))</f>
        <v/>
      </c>
      <c r="AJ149" s="344"/>
      <c r="AK149" s="351" t="str">
        <f>IF(ISERROR(AK141/(AK138+AK140)),"",AK141/(AK138+AK140))</f>
        <v/>
      </c>
      <c r="AL149" s="192"/>
      <c r="AM149" s="351"/>
      <c r="AN149" s="195"/>
      <c r="AO149" s="189"/>
      <c r="AP149" s="459" t="str">
        <f>IF(ISERROR(AP141/(AP138+AP140)),"",AP141/(AP138+AP140))</f>
        <v/>
      </c>
      <c r="AQ149" s="460"/>
      <c r="AR149" s="461" t="str">
        <f>IF(ISERROR(AR141/(AR138+AR140)),"",AR141/(AR138+AR140))</f>
        <v/>
      </c>
      <c r="AS149" s="444"/>
      <c r="AT149" s="461"/>
      <c r="AU149" s="195"/>
      <c r="AV149" s="459" t="str">
        <f>IF(ISERROR(AV141/(AV138+AV140)),"",AV141/(AV138+AV140))</f>
        <v/>
      </c>
      <c r="AW149" s="460"/>
      <c r="AX149" s="461" t="str">
        <f>IF(ISERROR(AX141/(AX138+AX140)),"",AX141/(AX138+AX140))</f>
        <v/>
      </c>
      <c r="AY149" s="444"/>
      <c r="AZ149" s="461"/>
      <c r="BA149" s="195"/>
      <c r="BB149" s="459" t="str">
        <f>IF(ISERROR(BB141/(BB138+BB140)),"",BB141/(BB138+BB140))</f>
        <v/>
      </c>
      <c r="BC149" s="460"/>
      <c r="BD149" s="461" t="str">
        <f>IF(ISERROR(BD141/(BD138+BD140)),"",BD141/(BD138+BD140))</f>
        <v/>
      </c>
      <c r="BE149" s="444"/>
      <c r="BF149" s="461"/>
      <c r="BG149" s="196" t="e">
        <f t="shared" si="186"/>
        <v>#VALUE!</v>
      </c>
      <c r="BH149" s="348" t="str">
        <f>IF(ISERROR(BH141/(BH138+BH140)),"",BH141/(BH138+BH140))</f>
        <v/>
      </c>
      <c r="BI149" s="344"/>
      <c r="BJ149" s="351" t="str">
        <f>IF(ISERROR(BJ141/(BJ138+BJ140)),"",BJ141/(BJ138+BJ140))</f>
        <v/>
      </c>
      <c r="BK149" s="192"/>
      <c r="BL149" s="351"/>
      <c r="BM149" s="194"/>
      <c r="BN149" s="189"/>
      <c r="BO149" s="459" t="str">
        <f>IF(ISERROR(BO141/(BO138+BO140)),"",BO141/(BO138+BO140))</f>
        <v/>
      </c>
      <c r="BP149" s="460"/>
      <c r="BQ149" s="461" t="str">
        <f>IF(ISERROR(BQ141/(BQ138+BQ140)),"",BQ141/(BQ138+BQ140))</f>
        <v/>
      </c>
      <c r="BR149" s="444"/>
      <c r="BS149" s="461"/>
      <c r="BT149" s="195"/>
      <c r="BU149" s="459" t="str">
        <f>IF(ISERROR(BU141/(BU138+BU140)),"",BU141/(BU138+BU140))</f>
        <v/>
      </c>
      <c r="BV149" s="460"/>
      <c r="BW149" s="461" t="str">
        <f>IF(ISERROR(BW141/(BW138+BW140)),"",BW141/(BW138+BW140))</f>
        <v/>
      </c>
      <c r="BX149" s="444"/>
      <c r="BY149" s="461"/>
      <c r="BZ149" s="195"/>
      <c r="CA149" s="459" t="str">
        <f>IF(ISERROR(CA141/(CA138+CA140)),"",CA141/(CA138+CA140))</f>
        <v/>
      </c>
      <c r="CB149" s="460"/>
      <c r="CC149" s="461" t="str">
        <f>IF(ISERROR(CC141/(CC138+CC140)),"",CC141/(CC138+CC140))</f>
        <v/>
      </c>
      <c r="CD149" s="444"/>
      <c r="CE149" s="461"/>
      <c r="CF149" s="196" t="e">
        <f t="shared" si="187"/>
        <v>#VALUE!</v>
      </c>
      <c r="CG149" s="348" t="str">
        <f>IF(ISERROR(CG141/(CG138+CG140)),"",CG141/(CG138+CG140))</f>
        <v/>
      </c>
      <c r="CH149" s="344"/>
      <c r="CI149" s="351" t="str">
        <f>IF(ISERROR(CI141/(CI138+CI140)),"",CI141/(CI138+CI140))</f>
        <v/>
      </c>
      <c r="CJ149" s="192"/>
      <c r="CK149" s="351"/>
      <c r="CL149" s="194"/>
      <c r="CM149" s="191"/>
      <c r="CN149" s="459" t="str">
        <f>IF(ISERROR(CN141/(CN138+CN140)),"",CN141/(CN138+CN140))</f>
        <v/>
      </c>
      <c r="CO149" s="460"/>
      <c r="CP149" s="461" t="str">
        <f>IF(ISERROR(CP141/(CP138+CP140)),"",CP141/(CP138+CP140))</f>
        <v/>
      </c>
      <c r="CQ149" s="444"/>
      <c r="CR149" s="461"/>
      <c r="CS149" s="195"/>
      <c r="CT149" s="459" t="str">
        <f>IF(ISERROR(CT141/(CT138+CT140)),"",CT141/(CT138+CT140))</f>
        <v/>
      </c>
      <c r="CU149" s="460"/>
      <c r="CV149" s="461" t="str">
        <f>IF(ISERROR(CV141/(CV138+CV140)),"",CV141/(CV138+CV140))</f>
        <v/>
      </c>
      <c r="CW149" s="444"/>
      <c r="CX149" s="461"/>
      <c r="CY149" s="195"/>
      <c r="CZ149" s="459" t="str">
        <f>IF(ISERROR(CZ141/(CZ138+CZ140)),"",CZ141/(CZ138+CZ140))</f>
        <v/>
      </c>
      <c r="DA149" s="460"/>
      <c r="DB149" s="461" t="str">
        <f>IF(ISERROR(DB141/(DB138+DB140)),"",DB141/(DB138+DB140))</f>
        <v/>
      </c>
      <c r="DC149" s="444"/>
      <c r="DD149" s="461"/>
      <c r="DE149" s="196" t="e">
        <f t="shared" si="188"/>
        <v>#VALUE!</v>
      </c>
      <c r="DF149" s="348" t="str">
        <f>IF(ISERROR(DF141/(DF138+DF140)),"",DF141/(DF138+DF140))</f>
        <v/>
      </c>
      <c r="DG149" s="344"/>
      <c r="DH149" s="351" t="str">
        <f>IF(ISERROR(DH141/(DH138+DH140)),"",DH141/(DH138+DH140))</f>
        <v/>
      </c>
      <c r="DI149" s="192"/>
      <c r="DJ149" s="351"/>
      <c r="DK149" s="32"/>
    </row>
    <row r="150" spans="1:115" s="3" customFormat="1" ht="21.75" customHeight="1" x14ac:dyDescent="0.25">
      <c r="A150" s="80">
        <v>141</v>
      </c>
      <c r="B150" s="552" t="s">
        <v>148</v>
      </c>
      <c r="C150" s="553"/>
      <c r="D150" s="553"/>
      <c r="E150" s="553"/>
      <c r="F150" s="553"/>
      <c r="G150" s="553"/>
      <c r="H150" s="553"/>
      <c r="I150" s="554"/>
      <c r="J150" s="351" t="str">
        <f>IF(ISERROR(J143/J140),"",J143/J140)</f>
        <v/>
      </c>
      <c r="K150" s="192"/>
      <c r="L150" s="351" t="str">
        <f>IF(ISERROR(L143/L140),"",L143/L140)</f>
        <v/>
      </c>
      <c r="M150" s="192"/>
      <c r="N150" s="192"/>
      <c r="O150" s="193"/>
      <c r="P150" s="185"/>
      <c r="Q150" s="459" t="str">
        <f>IF(ISERROR(Q143/Q140),"",Q143/Q140)</f>
        <v/>
      </c>
      <c r="R150" s="460"/>
      <c r="S150" s="461" t="str">
        <f>IF(ISERROR(S143/S140),"",S143/S140)</f>
        <v/>
      </c>
      <c r="T150" s="444"/>
      <c r="U150" s="461"/>
      <c r="V150" s="195"/>
      <c r="W150" s="459" t="str">
        <f>IF(ISERROR(W143/W140),"",W143/W140)</f>
        <v/>
      </c>
      <c r="X150" s="460"/>
      <c r="Y150" s="461" t="str">
        <f>IF(ISERROR(Y143/Y140),"",Y143/Y140)</f>
        <v/>
      </c>
      <c r="Z150" s="444"/>
      <c r="AA150" s="461"/>
      <c r="AB150" s="195"/>
      <c r="AC150" s="459" t="str">
        <f>IF(ISERROR(AC143/AC140),"",AC143/AC140)</f>
        <v/>
      </c>
      <c r="AD150" s="460"/>
      <c r="AE150" s="461" t="str">
        <f>IF(ISERROR(AE143/AE140),"",AE143/AE140)</f>
        <v/>
      </c>
      <c r="AF150" s="444"/>
      <c r="AG150" s="461"/>
      <c r="AH150" s="196" t="e">
        <f t="shared" si="185"/>
        <v>#VALUE!</v>
      </c>
      <c r="AI150" s="348" t="str">
        <f>IF(ISERROR(AI143/AI140),"",AI143/AI140)</f>
        <v/>
      </c>
      <c r="AJ150" s="344"/>
      <c r="AK150" s="351" t="str">
        <f>IF(ISERROR(AK143/AK140),"",AK143/AK140)</f>
        <v/>
      </c>
      <c r="AL150" s="192"/>
      <c r="AM150" s="351"/>
      <c r="AN150" s="195"/>
      <c r="AO150" s="189"/>
      <c r="AP150" s="459" t="str">
        <f>IF(ISERROR(AP143/AP140),"",AP143/AP140)</f>
        <v/>
      </c>
      <c r="AQ150" s="460"/>
      <c r="AR150" s="461" t="str">
        <f>IF(ISERROR(AR143/AR140),"",AR143/AR140)</f>
        <v/>
      </c>
      <c r="AS150" s="444"/>
      <c r="AT150" s="461"/>
      <c r="AU150" s="195"/>
      <c r="AV150" s="459" t="str">
        <f>IF(ISERROR(AV143/AV140),"",AV143/AV140)</f>
        <v/>
      </c>
      <c r="AW150" s="460"/>
      <c r="AX150" s="461" t="str">
        <f>IF(ISERROR(AX143/AX140),"",AX143/AX140)</f>
        <v/>
      </c>
      <c r="AY150" s="444"/>
      <c r="AZ150" s="461"/>
      <c r="BA150" s="195"/>
      <c r="BB150" s="459" t="str">
        <f>IF(ISERROR(BB143/BB140),"",BB143/BB140)</f>
        <v/>
      </c>
      <c r="BC150" s="460"/>
      <c r="BD150" s="461" t="str">
        <f>IF(ISERROR(BD143/BD140),"",BD143/BD140)</f>
        <v/>
      </c>
      <c r="BE150" s="444"/>
      <c r="BF150" s="461"/>
      <c r="BG150" s="196" t="e">
        <f t="shared" si="186"/>
        <v>#VALUE!</v>
      </c>
      <c r="BH150" s="348" t="str">
        <f>IF(ISERROR(BH143/BH140),"",BH143/BH140)</f>
        <v/>
      </c>
      <c r="BI150" s="344"/>
      <c r="BJ150" s="351" t="str">
        <f>IF(ISERROR(BJ143/BJ140),"",BJ143/BJ140)</f>
        <v/>
      </c>
      <c r="BK150" s="192"/>
      <c r="BL150" s="351"/>
      <c r="BM150" s="194"/>
      <c r="BN150" s="189"/>
      <c r="BO150" s="459" t="str">
        <f>IF(ISERROR(BO143/BO140),"",BO143/BO140)</f>
        <v/>
      </c>
      <c r="BP150" s="460"/>
      <c r="BQ150" s="461" t="str">
        <f>IF(ISERROR(BQ143/BQ140),"",BQ143/BQ140)</f>
        <v/>
      </c>
      <c r="BR150" s="444"/>
      <c r="BS150" s="461"/>
      <c r="BT150" s="195"/>
      <c r="BU150" s="459" t="str">
        <f>IF(ISERROR(BU143/BU140),"",BU143/BU140)</f>
        <v/>
      </c>
      <c r="BV150" s="460"/>
      <c r="BW150" s="461" t="str">
        <f>IF(ISERROR(BW143/BW140),"",BW143/BW140)</f>
        <v/>
      </c>
      <c r="BX150" s="444"/>
      <c r="BY150" s="461"/>
      <c r="BZ150" s="195"/>
      <c r="CA150" s="459" t="str">
        <f>IF(ISERROR(CA143/CA140),"",CA143/CA140)</f>
        <v/>
      </c>
      <c r="CB150" s="460"/>
      <c r="CC150" s="461" t="str">
        <f>IF(ISERROR(CC143/CC140),"",CC143/CC140)</f>
        <v/>
      </c>
      <c r="CD150" s="444"/>
      <c r="CE150" s="461"/>
      <c r="CF150" s="196" t="e">
        <f t="shared" si="187"/>
        <v>#VALUE!</v>
      </c>
      <c r="CG150" s="348" t="str">
        <f>IF(ISERROR(CG143/CG140),"",CG143/CG140)</f>
        <v/>
      </c>
      <c r="CH150" s="344"/>
      <c r="CI150" s="351" t="str">
        <f>IF(ISERROR(CI143/CI140),"",CI143/CI140)</f>
        <v/>
      </c>
      <c r="CJ150" s="192"/>
      <c r="CK150" s="351"/>
      <c r="CL150" s="194"/>
      <c r="CM150" s="191"/>
      <c r="CN150" s="459" t="str">
        <f>IF(ISERROR(CN143/CN140),"",CN143/CN140)</f>
        <v/>
      </c>
      <c r="CO150" s="460"/>
      <c r="CP150" s="461" t="str">
        <f>IF(ISERROR(CP143/CP140),"",CP143/CP140)</f>
        <v/>
      </c>
      <c r="CQ150" s="444"/>
      <c r="CR150" s="461"/>
      <c r="CS150" s="195"/>
      <c r="CT150" s="459" t="str">
        <f>IF(ISERROR(CT143/CT140),"",CT143/CT140)</f>
        <v/>
      </c>
      <c r="CU150" s="460"/>
      <c r="CV150" s="461" t="str">
        <f>IF(ISERROR(CV143/CV140),"",CV143/CV140)</f>
        <v/>
      </c>
      <c r="CW150" s="444"/>
      <c r="CX150" s="461"/>
      <c r="CY150" s="195"/>
      <c r="CZ150" s="459" t="str">
        <f>IF(ISERROR(CZ143/CZ140),"",CZ143/CZ140)</f>
        <v/>
      </c>
      <c r="DA150" s="460"/>
      <c r="DB150" s="461" t="str">
        <f>IF(ISERROR(DB143/DB140),"",DB143/DB140)</f>
        <v/>
      </c>
      <c r="DC150" s="444"/>
      <c r="DD150" s="461"/>
      <c r="DE150" s="196" t="e">
        <f t="shared" si="188"/>
        <v>#VALUE!</v>
      </c>
      <c r="DF150" s="348" t="str">
        <f>IF(ISERROR(DF143/DF140),"",DF143/DF140)</f>
        <v/>
      </c>
      <c r="DG150" s="344"/>
      <c r="DH150" s="351" t="str">
        <f>IF(ISERROR(DH143/DH140),"",DH143/DH140)</f>
        <v/>
      </c>
      <c r="DI150" s="192"/>
      <c r="DJ150" s="351"/>
      <c r="DK150" s="32"/>
    </row>
    <row r="151" spans="1:115" s="3" customFormat="1" ht="21.75" customHeight="1" thickBot="1" x14ac:dyDescent="0.3">
      <c r="A151" s="80">
        <v>142</v>
      </c>
      <c r="B151" s="542" t="s">
        <v>149</v>
      </c>
      <c r="C151" s="543"/>
      <c r="D151" s="543"/>
      <c r="E151" s="543"/>
      <c r="F151" s="543"/>
      <c r="G151" s="543"/>
      <c r="H151" s="543"/>
      <c r="I151" s="544"/>
      <c r="J151" s="352" t="str">
        <f>IF(ISERROR(J144/J145),"",J144/J145)</f>
        <v/>
      </c>
      <c r="K151" s="198"/>
      <c r="L151" s="352" t="str">
        <f>IF(ISERROR(L144/L145),"",L144/L145)</f>
        <v/>
      </c>
      <c r="M151" s="198"/>
      <c r="N151" s="198"/>
      <c r="O151" s="199"/>
      <c r="P151" s="185"/>
      <c r="Q151" s="462" t="str">
        <f>IF(ISERROR(Q144/Q145),"",Q144/Q145)</f>
        <v/>
      </c>
      <c r="R151" s="463"/>
      <c r="S151" s="464" t="str">
        <f>IF(ISERROR(S144/S145),"",S144/S145)</f>
        <v/>
      </c>
      <c r="T151" s="447"/>
      <c r="U151" s="464"/>
      <c r="V151" s="201"/>
      <c r="W151" s="462" t="str">
        <f>IF(ISERROR(W144/W145),"",W144/W145)</f>
        <v/>
      </c>
      <c r="X151" s="463"/>
      <c r="Y151" s="464" t="str">
        <f>IF(ISERROR(Y144/Y145),"",Y144/Y145)</f>
        <v/>
      </c>
      <c r="Z151" s="447"/>
      <c r="AA151" s="464"/>
      <c r="AB151" s="201"/>
      <c r="AC151" s="462" t="str">
        <f>IF(ISERROR(AC144/AC145),"",AC144/AC145)</f>
        <v/>
      </c>
      <c r="AD151" s="463"/>
      <c r="AE151" s="464" t="str">
        <f>IF(ISERROR(AE144/AE145),"",AE144/AE145)</f>
        <v/>
      </c>
      <c r="AF151" s="447"/>
      <c r="AG151" s="464"/>
      <c r="AH151" s="202" t="e">
        <f t="shared" si="185"/>
        <v>#VALUE!</v>
      </c>
      <c r="AI151" s="349" t="str">
        <f>IF(ISERROR(AI144/AI145),"",AI144/AI145)</f>
        <v/>
      </c>
      <c r="AJ151" s="345"/>
      <c r="AK151" s="352" t="str">
        <f>IF(ISERROR(AK144/AK145),"",AK144/AK145)</f>
        <v/>
      </c>
      <c r="AL151" s="198"/>
      <c r="AM151" s="352"/>
      <c r="AN151" s="201"/>
      <c r="AO151" s="189"/>
      <c r="AP151" s="462" t="str">
        <f>IF(ISERROR(AP144/AP145),"",AP144/AP145)</f>
        <v/>
      </c>
      <c r="AQ151" s="463"/>
      <c r="AR151" s="464" t="str">
        <f>IF(ISERROR(AR144/AR145),"",AR144/AR145)</f>
        <v/>
      </c>
      <c r="AS151" s="447"/>
      <c r="AT151" s="464"/>
      <c r="AU151" s="201"/>
      <c r="AV151" s="462" t="str">
        <f>IF(ISERROR(AV144/AV145),"",AV144/AV145)</f>
        <v/>
      </c>
      <c r="AW151" s="463"/>
      <c r="AX151" s="464" t="str">
        <f>IF(ISERROR(AX144/AX145),"",AX144/AX145)</f>
        <v/>
      </c>
      <c r="AY151" s="447"/>
      <c r="AZ151" s="464"/>
      <c r="BA151" s="201"/>
      <c r="BB151" s="462" t="str">
        <f>IF(ISERROR(BB144/BB145),"",BB144/BB145)</f>
        <v/>
      </c>
      <c r="BC151" s="463"/>
      <c r="BD151" s="464" t="str">
        <f>IF(ISERROR(BD144/BD145),"",BD144/BD145)</f>
        <v/>
      </c>
      <c r="BE151" s="447"/>
      <c r="BF151" s="464"/>
      <c r="BG151" s="202" t="e">
        <f t="shared" si="186"/>
        <v>#VALUE!</v>
      </c>
      <c r="BH151" s="349" t="str">
        <f>IF(ISERROR(BH144/BH145),"",BH144/BH145)</f>
        <v/>
      </c>
      <c r="BI151" s="345"/>
      <c r="BJ151" s="352" t="str">
        <f>IF(ISERROR(BJ144/BJ145),"",BJ144/BJ145)</f>
        <v/>
      </c>
      <c r="BK151" s="198"/>
      <c r="BL151" s="352"/>
      <c r="BM151" s="200"/>
      <c r="BN151" s="189"/>
      <c r="BO151" s="462" t="str">
        <f>IF(ISERROR(BO144/BO145),"",BO144/BO145)</f>
        <v/>
      </c>
      <c r="BP151" s="463"/>
      <c r="BQ151" s="464" t="str">
        <f>IF(ISERROR(BQ144/BQ145),"",BQ144/BQ145)</f>
        <v/>
      </c>
      <c r="BR151" s="447"/>
      <c r="BS151" s="464"/>
      <c r="BT151" s="201"/>
      <c r="BU151" s="462" t="str">
        <f>IF(ISERROR(BU144/BU145),"",BU144/BU145)</f>
        <v/>
      </c>
      <c r="BV151" s="463"/>
      <c r="BW151" s="464" t="str">
        <f>IF(ISERROR(BW144/BW145),"",BW144/BW145)</f>
        <v/>
      </c>
      <c r="BX151" s="447"/>
      <c r="BY151" s="464"/>
      <c r="BZ151" s="201"/>
      <c r="CA151" s="462" t="str">
        <f>IF(ISERROR(CA144/CA145),"",CA144/CA145)</f>
        <v/>
      </c>
      <c r="CB151" s="463"/>
      <c r="CC151" s="464" t="str">
        <f>IF(ISERROR(CC144/CC145),"",CC144/CC145)</f>
        <v/>
      </c>
      <c r="CD151" s="447"/>
      <c r="CE151" s="464"/>
      <c r="CF151" s="202" t="e">
        <f t="shared" si="187"/>
        <v>#VALUE!</v>
      </c>
      <c r="CG151" s="349" t="str">
        <f>IF(ISERROR(CG144/CG145),"",CG144/CG145)</f>
        <v/>
      </c>
      <c r="CH151" s="345"/>
      <c r="CI151" s="352" t="str">
        <f>IF(ISERROR(CI144/CI145),"",CI144/CI145)</f>
        <v/>
      </c>
      <c r="CJ151" s="198"/>
      <c r="CK151" s="352"/>
      <c r="CL151" s="200"/>
      <c r="CM151" s="191"/>
      <c r="CN151" s="462" t="str">
        <f>IF(ISERROR(CN144/CN145),"",CN144/CN145)</f>
        <v/>
      </c>
      <c r="CO151" s="463"/>
      <c r="CP151" s="464" t="str">
        <f>IF(ISERROR(CP144/CP145),"",CP144/CP145)</f>
        <v/>
      </c>
      <c r="CQ151" s="447"/>
      <c r="CR151" s="464"/>
      <c r="CS151" s="201"/>
      <c r="CT151" s="462" t="str">
        <f>IF(ISERROR(CT144/CT145),"",CT144/CT145)</f>
        <v/>
      </c>
      <c r="CU151" s="463"/>
      <c r="CV151" s="464" t="str">
        <f>IF(ISERROR(CV144/CV145),"",CV144/CV145)</f>
        <v/>
      </c>
      <c r="CW151" s="447"/>
      <c r="CX151" s="464"/>
      <c r="CY151" s="201"/>
      <c r="CZ151" s="462" t="str">
        <f>IF(ISERROR(CZ144/CZ145),"",CZ144/CZ145)</f>
        <v/>
      </c>
      <c r="DA151" s="463"/>
      <c r="DB151" s="464" t="str">
        <f>IF(ISERROR(DB144/DB145),"",DB144/DB145)</f>
        <v/>
      </c>
      <c r="DC151" s="447"/>
      <c r="DD151" s="464"/>
      <c r="DE151" s="202" t="e">
        <f t="shared" si="188"/>
        <v>#VALUE!</v>
      </c>
      <c r="DF151" s="349" t="str">
        <f>IF(ISERROR(DF144/DF145),"",DF144/DF145)</f>
        <v/>
      </c>
      <c r="DG151" s="345"/>
      <c r="DH151" s="352" t="str">
        <f>IF(ISERROR(DH144/DH145),"",DH144/DH145)</f>
        <v/>
      </c>
      <c r="DI151" s="198"/>
      <c r="DJ151" s="352"/>
      <c r="DK151" s="34"/>
    </row>
    <row r="152" spans="1:115" s="3" customFormat="1" ht="21.75" customHeight="1" thickBot="1" x14ac:dyDescent="0.5">
      <c r="A152" s="80">
        <v>143</v>
      </c>
      <c r="B152" s="545" t="s">
        <v>150</v>
      </c>
      <c r="C152" s="545"/>
      <c r="D152" s="545"/>
      <c r="E152" s="545"/>
      <c r="F152" s="545"/>
      <c r="G152" s="545"/>
      <c r="H152" s="545"/>
      <c r="I152" s="545"/>
      <c r="J152" s="149"/>
      <c r="K152" s="149"/>
      <c r="L152" s="149"/>
      <c r="M152" s="149"/>
      <c r="N152" s="149"/>
      <c r="O152" s="68"/>
      <c r="P152" s="68"/>
      <c r="Q152" s="428"/>
      <c r="R152" s="428"/>
      <c r="S152" s="428"/>
      <c r="T152" s="428"/>
      <c r="U152" s="428"/>
      <c r="V152" s="149"/>
      <c r="W152" s="428"/>
      <c r="X152" s="428"/>
      <c r="Y152" s="428"/>
      <c r="Z152" s="428"/>
      <c r="AA152" s="428"/>
      <c r="AB152" s="149"/>
      <c r="AC152" s="428"/>
      <c r="AD152" s="428"/>
      <c r="AE152" s="428"/>
      <c r="AF152" s="428"/>
      <c r="AG152" s="428"/>
      <c r="AH152" s="149"/>
      <c r="AI152" s="149"/>
      <c r="AJ152" s="149"/>
      <c r="AK152" s="149"/>
      <c r="AL152" s="149"/>
      <c r="AM152" s="149"/>
      <c r="AN152" s="149"/>
      <c r="AO152" s="147"/>
      <c r="AP152" s="428"/>
      <c r="AQ152" s="428"/>
      <c r="AR152" s="428"/>
      <c r="AS152" s="428"/>
      <c r="AT152" s="428"/>
      <c r="AU152" s="149"/>
      <c r="AV152" s="428"/>
      <c r="AW152" s="428"/>
      <c r="AX152" s="428"/>
      <c r="AY152" s="428"/>
      <c r="AZ152" s="428"/>
      <c r="BA152" s="149"/>
      <c r="BB152" s="428"/>
      <c r="BC152" s="428"/>
      <c r="BD152" s="428"/>
      <c r="BE152" s="428"/>
      <c r="BF152" s="428"/>
      <c r="BG152" s="149"/>
      <c r="BH152" s="149"/>
      <c r="BI152" s="149"/>
      <c r="BJ152" s="149"/>
      <c r="BK152" s="149"/>
      <c r="BL152" s="149"/>
      <c r="BM152" s="149"/>
      <c r="BN152" s="147"/>
      <c r="BO152" s="428"/>
      <c r="BP152" s="428"/>
      <c r="BQ152" s="428"/>
      <c r="BR152" s="428"/>
      <c r="BS152" s="428"/>
      <c r="BT152" s="149"/>
      <c r="BU152" s="428"/>
      <c r="BV152" s="428"/>
      <c r="BW152" s="428"/>
      <c r="BX152" s="428"/>
      <c r="BY152" s="428"/>
      <c r="BZ152" s="149"/>
      <c r="CA152" s="428"/>
      <c r="CB152" s="428"/>
      <c r="CC152" s="428"/>
      <c r="CD152" s="428"/>
      <c r="CE152" s="428"/>
      <c r="CF152" s="149"/>
      <c r="CG152" s="149"/>
      <c r="CH152" s="149"/>
      <c r="CI152" s="149"/>
      <c r="CJ152" s="149"/>
      <c r="CK152" s="149"/>
      <c r="CL152" s="149"/>
      <c r="CM152" s="148"/>
      <c r="CN152" s="428"/>
      <c r="CO152" s="428"/>
      <c r="CP152" s="428"/>
      <c r="CQ152" s="428"/>
      <c r="CR152" s="428"/>
      <c r="CS152" s="149"/>
      <c r="CT152" s="428"/>
      <c r="CU152" s="428"/>
      <c r="CV152" s="428"/>
      <c r="CW152" s="428"/>
      <c r="CX152" s="428"/>
      <c r="CY152" s="149"/>
      <c r="CZ152" s="428"/>
      <c r="DA152" s="428"/>
      <c r="DB152" s="428"/>
      <c r="DC152" s="428"/>
      <c r="DD152" s="428"/>
      <c r="DE152" s="149"/>
      <c r="DF152" s="149"/>
      <c r="DG152" s="149"/>
      <c r="DH152" s="149"/>
      <c r="DI152" s="149"/>
      <c r="DJ152" s="149"/>
      <c r="DK152" s="29"/>
    </row>
    <row r="153" spans="1:115" s="3" customFormat="1" ht="21.75" customHeight="1" thickTop="1" x14ac:dyDescent="0.25">
      <c r="A153" s="80">
        <v>144</v>
      </c>
      <c r="B153" s="546" t="s">
        <v>151</v>
      </c>
      <c r="C153" s="547"/>
      <c r="D153" s="547"/>
      <c r="E153" s="547"/>
      <c r="F153" s="547"/>
      <c r="G153" s="547"/>
      <c r="H153" s="547"/>
      <c r="I153" s="548"/>
      <c r="J153" s="270">
        <f>SUM(Q153,W153,AC153,AP153,AV153,BB153,BO153,BU153,CA153,CN153,CT153,CZ153)</f>
        <v>0</v>
      </c>
      <c r="K153" s="153"/>
      <c r="L153" s="271">
        <f>SUM(S153,Y153,AE153,AR153,AX153,BD153,BQ153,BW153,CC153,CP153,CV153,DB153)</f>
        <v>0</v>
      </c>
      <c r="M153" s="153"/>
      <c r="N153" s="271">
        <f t="shared" ref="N153:N160" si="189">J153-L153</f>
        <v>0</v>
      </c>
      <c r="O153" s="69">
        <f t="shared" ref="O153:O160" si="190">SUM(V153,AB153,AH153,AU153,BA153,BG153,BT153,BZ153,CF153,CS153,CY153,DE153)</f>
        <v>0</v>
      </c>
      <c r="P153" s="68"/>
      <c r="Q153" s="478"/>
      <c r="R153" s="430"/>
      <c r="S153" s="432"/>
      <c r="T153" s="432"/>
      <c r="U153" s="432">
        <f t="shared" ref="U153:U160" si="191">Q153-S153</f>
        <v>0</v>
      </c>
      <c r="V153" s="151"/>
      <c r="W153" s="478"/>
      <c r="X153" s="430"/>
      <c r="Y153" s="432"/>
      <c r="Z153" s="432"/>
      <c r="AA153" s="432">
        <f t="shared" ref="AA153:AA160" si="192">W153-Y153</f>
        <v>0</v>
      </c>
      <c r="AB153" s="151"/>
      <c r="AC153" s="478"/>
      <c r="AD153" s="430"/>
      <c r="AE153" s="432"/>
      <c r="AF153" s="432"/>
      <c r="AG153" s="432">
        <f t="shared" ref="AG153:AG160" si="193">AC153-AE153</f>
        <v>0</v>
      </c>
      <c r="AH153" s="150">
        <f t="shared" ref="AH153:AH160" si="194">AE153-AF153</f>
        <v>0</v>
      </c>
      <c r="AI153" s="270">
        <f t="shared" ref="AI153:AI160" si="195">SUM(Q153,W153,AC153)</f>
        <v>0</v>
      </c>
      <c r="AJ153" s="153"/>
      <c r="AK153" s="271">
        <f t="shared" ref="AK153:AK160" si="196">SUM(S153,Y153,AE153)</f>
        <v>0</v>
      </c>
      <c r="AL153" s="153"/>
      <c r="AM153" s="271">
        <f t="shared" ref="AM153:AM160" si="197">AI153-AK153</f>
        <v>0</v>
      </c>
      <c r="AN153" s="151"/>
      <c r="AO153" s="147"/>
      <c r="AP153" s="478"/>
      <c r="AQ153" s="430"/>
      <c r="AR153" s="432"/>
      <c r="AS153" s="432"/>
      <c r="AT153" s="432">
        <f t="shared" ref="AT153:AT160" si="198">AP153-AR153</f>
        <v>0</v>
      </c>
      <c r="AU153" s="271"/>
      <c r="AV153" s="478"/>
      <c r="AW153" s="430"/>
      <c r="AX153" s="432"/>
      <c r="AY153" s="432"/>
      <c r="AZ153" s="432">
        <f t="shared" ref="AZ153:AZ160" si="199">AV153-AX153</f>
        <v>0</v>
      </c>
      <c r="BA153" s="151"/>
      <c r="BB153" s="478"/>
      <c r="BC153" s="430"/>
      <c r="BD153" s="432"/>
      <c r="BE153" s="432"/>
      <c r="BF153" s="432">
        <f t="shared" ref="BF153:BF160" si="200">BB153-BD153</f>
        <v>0</v>
      </c>
      <c r="BG153" s="151"/>
      <c r="BH153" s="270">
        <f t="shared" ref="BH153:BH160" si="201">SUM(AP153,AV153,BB153)</f>
        <v>0</v>
      </c>
      <c r="BI153" s="153"/>
      <c r="BJ153" s="271">
        <f t="shared" ref="BJ153:BJ160" si="202">SUM(AR153,AX153,BD153)</f>
        <v>0</v>
      </c>
      <c r="BK153" s="153"/>
      <c r="BL153" s="271">
        <f t="shared" ref="BL153:BL160" si="203">BH153-BJ153</f>
        <v>0</v>
      </c>
      <c r="BM153" s="151"/>
      <c r="BN153" s="147"/>
      <c r="BO153" s="478"/>
      <c r="BP153" s="430"/>
      <c r="BQ153" s="432"/>
      <c r="BR153" s="432"/>
      <c r="BS153" s="432">
        <f t="shared" ref="BS153:BS160" si="204">BO153-BQ153</f>
        <v>0</v>
      </c>
      <c r="BT153" s="151"/>
      <c r="BU153" s="478"/>
      <c r="BV153" s="430"/>
      <c r="BW153" s="432"/>
      <c r="BX153" s="432"/>
      <c r="BY153" s="432">
        <f t="shared" ref="BY153:BY160" si="205">BU153-BW153</f>
        <v>0</v>
      </c>
      <c r="BZ153" s="151"/>
      <c r="CA153" s="478"/>
      <c r="CB153" s="430"/>
      <c r="CC153" s="432"/>
      <c r="CD153" s="432"/>
      <c r="CE153" s="432">
        <f t="shared" ref="CE153:CE160" si="206">CA153-CC153</f>
        <v>0</v>
      </c>
      <c r="CF153" s="151"/>
      <c r="CG153" s="270">
        <f t="shared" ref="CG153:CG160" si="207">SUM(BO153,BU153,CA153)</f>
        <v>0</v>
      </c>
      <c r="CH153" s="153"/>
      <c r="CI153" s="271">
        <f t="shared" ref="CI153:CI160" si="208">SUM(BQ153,BW153,CC153)</f>
        <v>0</v>
      </c>
      <c r="CJ153" s="153"/>
      <c r="CK153" s="271">
        <f t="shared" ref="CK153:CK160" si="209">CG153-CI153</f>
        <v>0</v>
      </c>
      <c r="CL153" s="271"/>
      <c r="CM153" s="148"/>
      <c r="CN153" s="478"/>
      <c r="CO153" s="430"/>
      <c r="CP153" s="432"/>
      <c r="CQ153" s="432"/>
      <c r="CR153" s="432">
        <f t="shared" ref="CR153:CR160" si="210">CN153-CP153</f>
        <v>0</v>
      </c>
      <c r="CS153" s="151"/>
      <c r="CT153" s="478"/>
      <c r="CU153" s="430"/>
      <c r="CV153" s="432"/>
      <c r="CW153" s="432"/>
      <c r="CX153" s="432">
        <f t="shared" ref="CX153:CX160" si="211">CT153-CV153</f>
        <v>0</v>
      </c>
      <c r="CY153" s="151"/>
      <c r="CZ153" s="478"/>
      <c r="DA153" s="430"/>
      <c r="DB153" s="432"/>
      <c r="DC153" s="432"/>
      <c r="DD153" s="432">
        <f t="shared" ref="DD153:DD160" si="212">CZ153-DB153</f>
        <v>0</v>
      </c>
      <c r="DE153" s="151"/>
      <c r="DF153" s="270">
        <f t="shared" ref="DF153:DF160" si="213">SUM(CN153,CT153,CZ153)</f>
        <v>0</v>
      </c>
      <c r="DG153" s="153"/>
      <c r="DH153" s="271">
        <f t="shared" ref="DH153:DH160" si="214">SUM(CP153,CV153,DB153)</f>
        <v>0</v>
      </c>
      <c r="DI153" s="153"/>
      <c r="DJ153" s="271">
        <f t="shared" ref="DJ153:DJ160" si="215">DF153-DH153</f>
        <v>0</v>
      </c>
      <c r="DK153" s="31"/>
    </row>
    <row r="154" spans="1:115" s="3" customFormat="1" ht="21.75" customHeight="1" thickBot="1" x14ac:dyDescent="0.3">
      <c r="A154" s="80">
        <v>145</v>
      </c>
      <c r="B154" s="549" t="s">
        <v>152</v>
      </c>
      <c r="C154" s="550"/>
      <c r="D154" s="550"/>
      <c r="E154" s="550"/>
      <c r="F154" s="550"/>
      <c r="G154" s="550"/>
      <c r="H154" s="550"/>
      <c r="I154" s="551"/>
      <c r="J154" s="272">
        <f>SUM(Q154,W154,AC154,AP154,AV154,BB154,BO154,BU154,CA154,CN154,CT154,CZ154)</f>
        <v>0</v>
      </c>
      <c r="K154" s="170"/>
      <c r="L154" s="273">
        <f>SUM(S154,Y154,AE154,AR154,AX154,BD154,BQ154,BW154,CC154,CP154,CV154,DB154)</f>
        <v>0</v>
      </c>
      <c r="M154" s="170"/>
      <c r="N154" s="273">
        <f t="shared" si="189"/>
        <v>0</v>
      </c>
      <c r="O154" s="77">
        <f t="shared" si="190"/>
        <v>0</v>
      </c>
      <c r="P154" s="78"/>
      <c r="Q154" s="479"/>
      <c r="R154" s="451"/>
      <c r="S154" s="453"/>
      <c r="T154" s="453"/>
      <c r="U154" s="453">
        <f t="shared" si="191"/>
        <v>0</v>
      </c>
      <c r="V154" s="178"/>
      <c r="W154" s="479"/>
      <c r="X154" s="451"/>
      <c r="Y154" s="453"/>
      <c r="Z154" s="453"/>
      <c r="AA154" s="453">
        <f t="shared" si="192"/>
        <v>0</v>
      </c>
      <c r="AB154" s="178"/>
      <c r="AC154" s="479"/>
      <c r="AD154" s="451"/>
      <c r="AE154" s="453"/>
      <c r="AF154" s="453"/>
      <c r="AG154" s="453">
        <f t="shared" si="193"/>
        <v>0</v>
      </c>
      <c r="AH154" s="177">
        <f t="shared" si="194"/>
        <v>0</v>
      </c>
      <c r="AI154" s="272">
        <f t="shared" si="195"/>
        <v>0</v>
      </c>
      <c r="AJ154" s="170"/>
      <c r="AK154" s="273">
        <f t="shared" si="196"/>
        <v>0</v>
      </c>
      <c r="AL154" s="179"/>
      <c r="AM154" s="273">
        <f t="shared" si="197"/>
        <v>0</v>
      </c>
      <c r="AN154" s="178"/>
      <c r="AO154" s="180"/>
      <c r="AP154" s="479"/>
      <c r="AQ154" s="451"/>
      <c r="AR154" s="453"/>
      <c r="AS154" s="453"/>
      <c r="AT154" s="453">
        <f t="shared" si="198"/>
        <v>0</v>
      </c>
      <c r="AU154" s="273"/>
      <c r="AV154" s="479"/>
      <c r="AW154" s="451"/>
      <c r="AX154" s="453"/>
      <c r="AY154" s="453"/>
      <c r="AZ154" s="453">
        <f t="shared" si="199"/>
        <v>0</v>
      </c>
      <c r="BA154" s="178"/>
      <c r="BB154" s="479"/>
      <c r="BC154" s="451"/>
      <c r="BD154" s="453"/>
      <c r="BE154" s="453"/>
      <c r="BF154" s="453">
        <f t="shared" si="200"/>
        <v>0</v>
      </c>
      <c r="BG154" s="178"/>
      <c r="BH154" s="272">
        <f t="shared" si="201"/>
        <v>0</v>
      </c>
      <c r="BI154" s="179"/>
      <c r="BJ154" s="273">
        <f t="shared" si="202"/>
        <v>0</v>
      </c>
      <c r="BK154" s="179"/>
      <c r="BL154" s="273">
        <f t="shared" si="203"/>
        <v>0</v>
      </c>
      <c r="BM154" s="178"/>
      <c r="BN154" s="180"/>
      <c r="BO154" s="479"/>
      <c r="BP154" s="451"/>
      <c r="BQ154" s="453"/>
      <c r="BR154" s="453"/>
      <c r="BS154" s="453">
        <f t="shared" si="204"/>
        <v>0</v>
      </c>
      <c r="BT154" s="178"/>
      <c r="BU154" s="479"/>
      <c r="BV154" s="451"/>
      <c r="BW154" s="453"/>
      <c r="BX154" s="453"/>
      <c r="BY154" s="453">
        <f t="shared" si="205"/>
        <v>0</v>
      </c>
      <c r="BZ154" s="178"/>
      <c r="CA154" s="479"/>
      <c r="CB154" s="451"/>
      <c r="CC154" s="453"/>
      <c r="CD154" s="453"/>
      <c r="CE154" s="453">
        <f t="shared" si="206"/>
        <v>0</v>
      </c>
      <c r="CF154" s="178"/>
      <c r="CG154" s="272">
        <f t="shared" si="207"/>
        <v>0</v>
      </c>
      <c r="CH154" s="179"/>
      <c r="CI154" s="273">
        <f t="shared" si="208"/>
        <v>0</v>
      </c>
      <c r="CJ154" s="179"/>
      <c r="CK154" s="273">
        <f t="shared" si="209"/>
        <v>0</v>
      </c>
      <c r="CL154" s="273"/>
      <c r="CM154" s="148"/>
      <c r="CN154" s="479"/>
      <c r="CO154" s="451"/>
      <c r="CP154" s="453"/>
      <c r="CQ154" s="453"/>
      <c r="CR154" s="453">
        <f t="shared" si="210"/>
        <v>0</v>
      </c>
      <c r="CS154" s="178"/>
      <c r="CT154" s="479"/>
      <c r="CU154" s="451"/>
      <c r="CV154" s="453"/>
      <c r="CW154" s="453"/>
      <c r="CX154" s="453">
        <f t="shared" si="211"/>
        <v>0</v>
      </c>
      <c r="CY154" s="178"/>
      <c r="CZ154" s="479"/>
      <c r="DA154" s="451"/>
      <c r="DB154" s="453"/>
      <c r="DC154" s="453"/>
      <c r="DD154" s="453">
        <f t="shared" si="212"/>
        <v>0</v>
      </c>
      <c r="DE154" s="178"/>
      <c r="DF154" s="272">
        <f t="shared" si="213"/>
        <v>0</v>
      </c>
      <c r="DG154" s="179"/>
      <c r="DH154" s="273">
        <f t="shared" si="214"/>
        <v>0</v>
      </c>
      <c r="DI154" s="179"/>
      <c r="DJ154" s="273">
        <f t="shared" si="215"/>
        <v>0</v>
      </c>
      <c r="DK154" s="36"/>
    </row>
    <row r="155" spans="1:115" s="3" customFormat="1" ht="21.75" customHeight="1" thickTop="1" thickBot="1" x14ac:dyDescent="0.3">
      <c r="A155" s="80">
        <v>146</v>
      </c>
      <c r="B155" s="533" t="s">
        <v>153</v>
      </c>
      <c r="C155" s="534"/>
      <c r="D155" s="534"/>
      <c r="E155" s="534"/>
      <c r="F155" s="534"/>
      <c r="G155" s="534"/>
      <c r="H155" s="534"/>
      <c r="I155" s="535"/>
      <c r="J155" s="272">
        <f>SUM(Q155,W155,AC155,AP155,AV155,BB155,BO155,BU155,CA155,CN155,CT155,CZ155)</f>
        <v>0</v>
      </c>
      <c r="K155" s="170"/>
      <c r="L155" s="273">
        <f>SUM(S155,Y155,AE155,AR155,AX155,BD155,BQ155,BW155,CC155,CP155,CV155,DB155)</f>
        <v>0</v>
      </c>
      <c r="M155" s="170"/>
      <c r="N155" s="273">
        <f t="shared" si="189"/>
        <v>0</v>
      </c>
      <c r="O155" s="77">
        <f t="shared" si="190"/>
        <v>0</v>
      </c>
      <c r="P155" s="78"/>
      <c r="Q155" s="465">
        <f>Q15</f>
        <v>0</v>
      </c>
      <c r="R155" s="451"/>
      <c r="S155" s="453">
        <f>S15</f>
        <v>0</v>
      </c>
      <c r="T155" s="453"/>
      <c r="U155" s="453">
        <f t="shared" si="191"/>
        <v>0</v>
      </c>
      <c r="V155" s="178"/>
      <c r="W155" s="465">
        <f>W15</f>
        <v>0</v>
      </c>
      <c r="X155" s="451"/>
      <c r="Y155" s="453">
        <f>Y15</f>
        <v>0</v>
      </c>
      <c r="Z155" s="453"/>
      <c r="AA155" s="453">
        <f t="shared" si="192"/>
        <v>0</v>
      </c>
      <c r="AB155" s="178"/>
      <c r="AC155" s="465">
        <f>AC15</f>
        <v>0</v>
      </c>
      <c r="AD155" s="451"/>
      <c r="AE155" s="453">
        <f>AE15</f>
        <v>0</v>
      </c>
      <c r="AF155" s="453"/>
      <c r="AG155" s="453">
        <f t="shared" si="193"/>
        <v>0</v>
      </c>
      <c r="AH155" s="177">
        <f t="shared" si="194"/>
        <v>0</v>
      </c>
      <c r="AI155" s="272">
        <f t="shared" si="195"/>
        <v>0</v>
      </c>
      <c r="AJ155" s="170"/>
      <c r="AK155" s="273">
        <f t="shared" si="196"/>
        <v>0</v>
      </c>
      <c r="AL155" s="179"/>
      <c r="AM155" s="273">
        <f t="shared" si="197"/>
        <v>0</v>
      </c>
      <c r="AN155" s="178"/>
      <c r="AO155" s="180"/>
      <c r="AP155" s="465">
        <f>AP15</f>
        <v>0</v>
      </c>
      <c r="AQ155" s="451"/>
      <c r="AR155" s="453">
        <f>AR15</f>
        <v>0</v>
      </c>
      <c r="AS155" s="453"/>
      <c r="AT155" s="453">
        <f t="shared" si="198"/>
        <v>0</v>
      </c>
      <c r="AU155" s="273"/>
      <c r="AV155" s="465">
        <f>AV15</f>
        <v>0</v>
      </c>
      <c r="AW155" s="451"/>
      <c r="AX155" s="453">
        <f>AX15</f>
        <v>0</v>
      </c>
      <c r="AY155" s="453"/>
      <c r="AZ155" s="453">
        <f t="shared" si="199"/>
        <v>0</v>
      </c>
      <c r="BA155" s="178"/>
      <c r="BB155" s="465">
        <f>BB15</f>
        <v>0</v>
      </c>
      <c r="BC155" s="451"/>
      <c r="BD155" s="453">
        <f>BD15</f>
        <v>0</v>
      </c>
      <c r="BE155" s="453"/>
      <c r="BF155" s="453">
        <f t="shared" si="200"/>
        <v>0</v>
      </c>
      <c r="BG155" s="178"/>
      <c r="BH155" s="272">
        <f t="shared" si="201"/>
        <v>0</v>
      </c>
      <c r="BI155" s="179"/>
      <c r="BJ155" s="273">
        <f t="shared" si="202"/>
        <v>0</v>
      </c>
      <c r="BK155" s="179"/>
      <c r="BL155" s="273">
        <f t="shared" si="203"/>
        <v>0</v>
      </c>
      <c r="BM155" s="178"/>
      <c r="BN155" s="180"/>
      <c r="BO155" s="465">
        <f>BO15</f>
        <v>0</v>
      </c>
      <c r="BP155" s="451"/>
      <c r="BQ155" s="453">
        <f>BQ15</f>
        <v>0</v>
      </c>
      <c r="BR155" s="453"/>
      <c r="BS155" s="453">
        <f t="shared" si="204"/>
        <v>0</v>
      </c>
      <c r="BT155" s="178"/>
      <c r="BU155" s="465">
        <f>BU15</f>
        <v>0</v>
      </c>
      <c r="BV155" s="451"/>
      <c r="BW155" s="453">
        <f>BW15</f>
        <v>0</v>
      </c>
      <c r="BX155" s="453"/>
      <c r="BY155" s="453">
        <f t="shared" si="205"/>
        <v>0</v>
      </c>
      <c r="BZ155" s="178"/>
      <c r="CA155" s="465">
        <f>CA15</f>
        <v>0</v>
      </c>
      <c r="CB155" s="451"/>
      <c r="CC155" s="453">
        <f>CC15</f>
        <v>0</v>
      </c>
      <c r="CD155" s="453"/>
      <c r="CE155" s="453">
        <f t="shared" si="206"/>
        <v>0</v>
      </c>
      <c r="CF155" s="178"/>
      <c r="CG155" s="272">
        <f t="shared" si="207"/>
        <v>0</v>
      </c>
      <c r="CH155" s="179"/>
      <c r="CI155" s="273">
        <f t="shared" si="208"/>
        <v>0</v>
      </c>
      <c r="CJ155" s="179"/>
      <c r="CK155" s="273">
        <f t="shared" si="209"/>
        <v>0</v>
      </c>
      <c r="CL155" s="273"/>
      <c r="CM155" s="148"/>
      <c r="CN155" s="465">
        <f>CN15</f>
        <v>0</v>
      </c>
      <c r="CO155" s="451"/>
      <c r="CP155" s="453">
        <f>CP15</f>
        <v>0</v>
      </c>
      <c r="CQ155" s="453"/>
      <c r="CR155" s="453">
        <f t="shared" si="210"/>
        <v>0</v>
      </c>
      <c r="CS155" s="178"/>
      <c r="CT155" s="465">
        <f>CT15</f>
        <v>0</v>
      </c>
      <c r="CU155" s="451"/>
      <c r="CV155" s="453">
        <f>CV15</f>
        <v>0</v>
      </c>
      <c r="CW155" s="453"/>
      <c r="CX155" s="453">
        <f t="shared" si="211"/>
        <v>0</v>
      </c>
      <c r="CY155" s="178"/>
      <c r="CZ155" s="465">
        <f>CZ15</f>
        <v>0</v>
      </c>
      <c r="DA155" s="451"/>
      <c r="DB155" s="453">
        <f>DB15</f>
        <v>0</v>
      </c>
      <c r="DC155" s="453"/>
      <c r="DD155" s="453">
        <f t="shared" si="212"/>
        <v>0</v>
      </c>
      <c r="DE155" s="178"/>
      <c r="DF155" s="272">
        <f t="shared" si="213"/>
        <v>0</v>
      </c>
      <c r="DG155" s="179"/>
      <c r="DH155" s="273">
        <f t="shared" si="214"/>
        <v>0</v>
      </c>
      <c r="DI155" s="179"/>
      <c r="DJ155" s="273">
        <f t="shared" si="215"/>
        <v>0</v>
      </c>
      <c r="DK155" s="36"/>
    </row>
    <row r="156" spans="1:115" s="3" customFormat="1" ht="21.75" customHeight="1" thickTop="1" thickBot="1" x14ac:dyDescent="0.3">
      <c r="A156" s="80">
        <v>147</v>
      </c>
      <c r="B156" s="533" t="s">
        <v>154</v>
      </c>
      <c r="C156" s="534"/>
      <c r="D156" s="534"/>
      <c r="E156" s="534"/>
      <c r="F156" s="534"/>
      <c r="G156" s="534"/>
      <c r="H156" s="534"/>
      <c r="I156" s="535"/>
      <c r="J156" s="272">
        <f>SUM(Q156,W156,AC156,AP156,AV156,BB156,BO156,BU156,CA156,CN156,CT156,CZ156)</f>
        <v>0</v>
      </c>
      <c r="K156" s="170"/>
      <c r="L156" s="273">
        <f>SUM(S156,Y156,AE156,AR156,AX156,BD156,BQ156,BW156,CC156,CP156,CV156,DB156)</f>
        <v>0</v>
      </c>
      <c r="M156" s="170"/>
      <c r="N156" s="273">
        <f t="shared" si="189"/>
        <v>0</v>
      </c>
      <c r="O156" s="77">
        <f t="shared" si="190"/>
        <v>0</v>
      </c>
      <c r="P156" s="78"/>
      <c r="Q156" s="480"/>
      <c r="R156" s="451"/>
      <c r="S156" s="453"/>
      <c r="T156" s="453"/>
      <c r="U156" s="453">
        <f t="shared" si="191"/>
        <v>0</v>
      </c>
      <c r="V156" s="178"/>
      <c r="W156" s="480"/>
      <c r="X156" s="451"/>
      <c r="Y156" s="453"/>
      <c r="Z156" s="453"/>
      <c r="AA156" s="453">
        <f t="shared" si="192"/>
        <v>0</v>
      </c>
      <c r="AB156" s="178"/>
      <c r="AC156" s="480"/>
      <c r="AD156" s="451"/>
      <c r="AE156" s="453"/>
      <c r="AF156" s="453"/>
      <c r="AG156" s="453">
        <f t="shared" si="193"/>
        <v>0</v>
      </c>
      <c r="AH156" s="177">
        <f t="shared" si="194"/>
        <v>0</v>
      </c>
      <c r="AI156" s="272">
        <f t="shared" si="195"/>
        <v>0</v>
      </c>
      <c r="AJ156" s="170"/>
      <c r="AK156" s="273">
        <f t="shared" si="196"/>
        <v>0</v>
      </c>
      <c r="AL156" s="179"/>
      <c r="AM156" s="273">
        <f t="shared" si="197"/>
        <v>0</v>
      </c>
      <c r="AN156" s="178"/>
      <c r="AO156" s="180"/>
      <c r="AP156" s="480"/>
      <c r="AQ156" s="451"/>
      <c r="AR156" s="453"/>
      <c r="AS156" s="453"/>
      <c r="AT156" s="453">
        <f t="shared" si="198"/>
        <v>0</v>
      </c>
      <c r="AU156" s="273"/>
      <c r="AV156" s="480"/>
      <c r="AW156" s="451"/>
      <c r="AX156" s="453"/>
      <c r="AY156" s="453"/>
      <c r="AZ156" s="453">
        <f t="shared" si="199"/>
        <v>0</v>
      </c>
      <c r="BA156" s="178"/>
      <c r="BB156" s="480"/>
      <c r="BC156" s="451"/>
      <c r="BD156" s="453"/>
      <c r="BE156" s="453"/>
      <c r="BF156" s="453">
        <f t="shared" si="200"/>
        <v>0</v>
      </c>
      <c r="BG156" s="178"/>
      <c r="BH156" s="272">
        <f t="shared" si="201"/>
        <v>0</v>
      </c>
      <c r="BI156" s="179"/>
      <c r="BJ156" s="273">
        <f t="shared" si="202"/>
        <v>0</v>
      </c>
      <c r="BK156" s="179"/>
      <c r="BL156" s="273">
        <f t="shared" si="203"/>
        <v>0</v>
      </c>
      <c r="BM156" s="178"/>
      <c r="BN156" s="180"/>
      <c r="BO156" s="480"/>
      <c r="BP156" s="451"/>
      <c r="BQ156" s="453"/>
      <c r="BR156" s="453"/>
      <c r="BS156" s="453">
        <f t="shared" si="204"/>
        <v>0</v>
      </c>
      <c r="BT156" s="178"/>
      <c r="BU156" s="480"/>
      <c r="BV156" s="451"/>
      <c r="BW156" s="453"/>
      <c r="BX156" s="453"/>
      <c r="BY156" s="453">
        <f t="shared" si="205"/>
        <v>0</v>
      </c>
      <c r="BZ156" s="178"/>
      <c r="CA156" s="480"/>
      <c r="CB156" s="451"/>
      <c r="CC156" s="453"/>
      <c r="CD156" s="453"/>
      <c r="CE156" s="453">
        <f t="shared" si="206"/>
        <v>0</v>
      </c>
      <c r="CF156" s="178"/>
      <c r="CG156" s="272">
        <f t="shared" si="207"/>
        <v>0</v>
      </c>
      <c r="CH156" s="179"/>
      <c r="CI156" s="273">
        <f t="shared" si="208"/>
        <v>0</v>
      </c>
      <c r="CJ156" s="179"/>
      <c r="CK156" s="273">
        <f t="shared" si="209"/>
        <v>0</v>
      </c>
      <c r="CL156" s="273"/>
      <c r="CM156" s="148"/>
      <c r="CN156" s="480"/>
      <c r="CO156" s="451"/>
      <c r="CP156" s="453"/>
      <c r="CQ156" s="453"/>
      <c r="CR156" s="453">
        <f t="shared" si="210"/>
        <v>0</v>
      </c>
      <c r="CS156" s="178"/>
      <c r="CT156" s="480"/>
      <c r="CU156" s="451"/>
      <c r="CV156" s="453"/>
      <c r="CW156" s="453"/>
      <c r="CX156" s="453">
        <f t="shared" si="211"/>
        <v>0</v>
      </c>
      <c r="CY156" s="178"/>
      <c r="CZ156" s="480"/>
      <c r="DA156" s="451"/>
      <c r="DB156" s="453"/>
      <c r="DC156" s="453"/>
      <c r="DD156" s="453">
        <f t="shared" si="212"/>
        <v>0</v>
      </c>
      <c r="DE156" s="178"/>
      <c r="DF156" s="272">
        <f t="shared" si="213"/>
        <v>0</v>
      </c>
      <c r="DG156" s="179"/>
      <c r="DH156" s="273">
        <f t="shared" si="214"/>
        <v>0</v>
      </c>
      <c r="DI156" s="179"/>
      <c r="DJ156" s="273">
        <f t="shared" si="215"/>
        <v>0</v>
      </c>
      <c r="DK156" s="36"/>
    </row>
    <row r="157" spans="1:115" s="3" customFormat="1" ht="21.75" customHeight="1" thickTop="1" x14ac:dyDescent="0.25">
      <c r="A157" s="80">
        <v>148</v>
      </c>
      <c r="B157" s="533" t="s">
        <v>155</v>
      </c>
      <c r="C157" s="534"/>
      <c r="D157" s="534"/>
      <c r="E157" s="534"/>
      <c r="F157" s="534"/>
      <c r="G157" s="534"/>
      <c r="H157" s="534"/>
      <c r="I157" s="535"/>
      <c r="J157" s="274">
        <f>J96</f>
        <v>0</v>
      </c>
      <c r="K157" s="158" t="str">
        <f>K96</f>
        <v/>
      </c>
      <c r="L157" s="275">
        <f>L96</f>
        <v>0</v>
      </c>
      <c r="M157" s="158" t="str">
        <f>M96</f>
        <v/>
      </c>
      <c r="N157" s="275">
        <f t="shared" si="189"/>
        <v>0</v>
      </c>
      <c r="O157" s="70" t="e">
        <f t="shared" si="190"/>
        <v>#VALUE!</v>
      </c>
      <c r="P157" s="68"/>
      <c r="Q157" s="466">
        <f>Q96</f>
        <v>0</v>
      </c>
      <c r="R157" s="435" t="str">
        <f>R96</f>
        <v/>
      </c>
      <c r="S157" s="435">
        <f>S96</f>
        <v>0</v>
      </c>
      <c r="T157" s="435" t="str">
        <f>T96</f>
        <v/>
      </c>
      <c r="U157" s="435">
        <f t="shared" si="191"/>
        <v>0</v>
      </c>
      <c r="V157" s="156">
        <f>SUM(V38,V64,V92)</f>
        <v>0</v>
      </c>
      <c r="W157" s="466">
        <f>W96</f>
        <v>0</v>
      </c>
      <c r="X157" s="435" t="str">
        <f>X96</f>
        <v/>
      </c>
      <c r="Y157" s="435">
        <f>Y96</f>
        <v>0</v>
      </c>
      <c r="Z157" s="435" t="str">
        <f>Z96</f>
        <v/>
      </c>
      <c r="AA157" s="435">
        <f t="shared" si="192"/>
        <v>0</v>
      </c>
      <c r="AB157" s="156">
        <f>SUM(AB38,AB64,AB92)</f>
        <v>0</v>
      </c>
      <c r="AC157" s="466">
        <f>AC96</f>
        <v>0</v>
      </c>
      <c r="AD157" s="435" t="str">
        <f>AD96</f>
        <v/>
      </c>
      <c r="AE157" s="435">
        <f>AE96</f>
        <v>0</v>
      </c>
      <c r="AF157" s="435" t="str">
        <f>AF96</f>
        <v/>
      </c>
      <c r="AG157" s="435">
        <f t="shared" si="193"/>
        <v>0</v>
      </c>
      <c r="AH157" s="155" t="e">
        <f t="shared" si="194"/>
        <v>#VALUE!</v>
      </c>
      <c r="AI157" s="274">
        <f t="shared" si="195"/>
        <v>0</v>
      </c>
      <c r="AJ157" s="158" t="str">
        <f>AJ96</f>
        <v/>
      </c>
      <c r="AK157" s="275">
        <f t="shared" si="196"/>
        <v>0</v>
      </c>
      <c r="AL157" s="158" t="str">
        <f>AL96</f>
        <v/>
      </c>
      <c r="AM157" s="158">
        <f t="shared" si="197"/>
        <v>0</v>
      </c>
      <c r="AN157" s="156">
        <f>SUM(AN38,AN64,AN92)</f>
        <v>0</v>
      </c>
      <c r="AO157" s="147"/>
      <c r="AP157" s="466">
        <f>AP96</f>
        <v>0</v>
      </c>
      <c r="AQ157" s="435" t="str">
        <f>AQ96</f>
        <v/>
      </c>
      <c r="AR157" s="435">
        <f>AR96</f>
        <v>0</v>
      </c>
      <c r="AS157" s="435" t="str">
        <f>AS96</f>
        <v/>
      </c>
      <c r="AT157" s="435">
        <f t="shared" si="198"/>
        <v>0</v>
      </c>
      <c r="AU157" s="156">
        <f>SUM(AU38,AU64,AU92)</f>
        <v>0</v>
      </c>
      <c r="AV157" s="466">
        <f>AV96</f>
        <v>0</v>
      </c>
      <c r="AW157" s="435" t="str">
        <f>AW96</f>
        <v/>
      </c>
      <c r="AX157" s="435">
        <f>AX96</f>
        <v>0</v>
      </c>
      <c r="AY157" s="435" t="str">
        <f>AY96</f>
        <v/>
      </c>
      <c r="AZ157" s="435">
        <f t="shared" si="199"/>
        <v>0</v>
      </c>
      <c r="BA157" s="156">
        <f>SUM(BA38,BA64,BA92)</f>
        <v>0</v>
      </c>
      <c r="BB157" s="466">
        <f>BB96</f>
        <v>0</v>
      </c>
      <c r="BC157" s="435" t="str">
        <f>BC96</f>
        <v/>
      </c>
      <c r="BD157" s="435">
        <f>BD96</f>
        <v>0</v>
      </c>
      <c r="BE157" s="435" t="str">
        <f>BE96</f>
        <v/>
      </c>
      <c r="BF157" s="435">
        <f t="shared" si="200"/>
        <v>0</v>
      </c>
      <c r="BG157" s="156">
        <f>SUM(BG38,BG64,BG92)</f>
        <v>0</v>
      </c>
      <c r="BH157" s="274">
        <f t="shared" si="201"/>
        <v>0</v>
      </c>
      <c r="BI157" s="158" t="str">
        <f>BI96</f>
        <v/>
      </c>
      <c r="BJ157" s="275">
        <f t="shared" si="202"/>
        <v>0</v>
      </c>
      <c r="BK157" s="158" t="str">
        <f>BK96</f>
        <v/>
      </c>
      <c r="BL157" s="158">
        <f t="shared" si="203"/>
        <v>0</v>
      </c>
      <c r="BM157" s="156">
        <f>SUM(BM38,BM64,BM92)</f>
        <v>0</v>
      </c>
      <c r="BN157" s="147"/>
      <c r="BO157" s="466">
        <f>BO96</f>
        <v>0</v>
      </c>
      <c r="BP157" s="435" t="str">
        <f>BP96</f>
        <v/>
      </c>
      <c r="BQ157" s="435">
        <f>BQ96</f>
        <v>0</v>
      </c>
      <c r="BR157" s="435" t="str">
        <f>BR96</f>
        <v/>
      </c>
      <c r="BS157" s="435">
        <f t="shared" si="204"/>
        <v>0</v>
      </c>
      <c r="BT157" s="156">
        <f>SUM(BT38,BT64,BT92)</f>
        <v>0</v>
      </c>
      <c r="BU157" s="466">
        <f>BU96</f>
        <v>0</v>
      </c>
      <c r="BV157" s="435" t="str">
        <f>BV96</f>
        <v/>
      </c>
      <c r="BW157" s="435">
        <f>BW96</f>
        <v>0</v>
      </c>
      <c r="BX157" s="435" t="str">
        <f>BX96</f>
        <v/>
      </c>
      <c r="BY157" s="435">
        <f t="shared" si="205"/>
        <v>0</v>
      </c>
      <c r="BZ157" s="156">
        <f>SUM(BZ38,BZ64,BZ92)</f>
        <v>0</v>
      </c>
      <c r="CA157" s="466">
        <f>CA96</f>
        <v>0</v>
      </c>
      <c r="CB157" s="435" t="str">
        <f>CB96</f>
        <v/>
      </c>
      <c r="CC157" s="435">
        <f>CC96</f>
        <v>0</v>
      </c>
      <c r="CD157" s="435" t="str">
        <f>CD96</f>
        <v/>
      </c>
      <c r="CE157" s="435">
        <f t="shared" si="206"/>
        <v>0</v>
      </c>
      <c r="CF157" s="156">
        <f>SUM(CF38,CF64,CF92)</f>
        <v>0</v>
      </c>
      <c r="CG157" s="274">
        <f t="shared" si="207"/>
        <v>0</v>
      </c>
      <c r="CH157" s="158" t="str">
        <f>CH96</f>
        <v/>
      </c>
      <c r="CI157" s="275">
        <f t="shared" si="208"/>
        <v>0</v>
      </c>
      <c r="CJ157" s="158" t="str">
        <f>CJ96</f>
        <v/>
      </c>
      <c r="CK157" s="158">
        <f t="shared" si="209"/>
        <v>0</v>
      </c>
      <c r="CL157" s="156">
        <f>SUM(CL38,CL64,CL92)</f>
        <v>0</v>
      </c>
      <c r="CM157" s="148"/>
      <c r="CN157" s="466">
        <f>CN96</f>
        <v>0</v>
      </c>
      <c r="CO157" s="435" t="str">
        <f>CO96</f>
        <v/>
      </c>
      <c r="CP157" s="435">
        <f>CP96</f>
        <v>0</v>
      </c>
      <c r="CQ157" s="435" t="str">
        <f>CQ96</f>
        <v/>
      </c>
      <c r="CR157" s="435">
        <f t="shared" si="210"/>
        <v>0</v>
      </c>
      <c r="CS157" s="156">
        <f>SUM(CS38,CS64,CS92)</f>
        <v>0</v>
      </c>
      <c r="CT157" s="466">
        <f>CT96</f>
        <v>0</v>
      </c>
      <c r="CU157" s="435" t="str">
        <f>CU96</f>
        <v/>
      </c>
      <c r="CV157" s="435">
        <f>CV96</f>
        <v>0</v>
      </c>
      <c r="CW157" s="435" t="str">
        <f>CW96</f>
        <v/>
      </c>
      <c r="CX157" s="435">
        <f t="shared" si="211"/>
        <v>0</v>
      </c>
      <c r="CY157" s="156">
        <f>SUM(CY38,CY64,CY92)</f>
        <v>0</v>
      </c>
      <c r="CZ157" s="466">
        <f>CZ96</f>
        <v>0</v>
      </c>
      <c r="DA157" s="435" t="str">
        <f>DA96</f>
        <v/>
      </c>
      <c r="DB157" s="435">
        <f>DB96</f>
        <v>0</v>
      </c>
      <c r="DC157" s="435" t="str">
        <f>DC96</f>
        <v/>
      </c>
      <c r="DD157" s="435">
        <f t="shared" si="212"/>
        <v>0</v>
      </c>
      <c r="DE157" s="156">
        <f>SUM(DE38,DE64,DE92)</f>
        <v>0</v>
      </c>
      <c r="DF157" s="274">
        <f t="shared" si="213"/>
        <v>0</v>
      </c>
      <c r="DG157" s="158" t="str">
        <f>DG96</f>
        <v/>
      </c>
      <c r="DH157" s="275">
        <f t="shared" si="214"/>
        <v>0</v>
      </c>
      <c r="DI157" s="158" t="str">
        <f>DI96</f>
        <v/>
      </c>
      <c r="DJ157" s="158">
        <f t="shared" si="215"/>
        <v>0</v>
      </c>
      <c r="DK157" s="33">
        <f>SUM(DK38,DK64,DK92)</f>
        <v>0</v>
      </c>
    </row>
    <row r="158" spans="1:115" s="3" customFormat="1" ht="21.75" customHeight="1" x14ac:dyDescent="0.25">
      <c r="A158" s="80">
        <v>149</v>
      </c>
      <c r="B158" s="533" t="s">
        <v>156</v>
      </c>
      <c r="C158" s="534"/>
      <c r="D158" s="534"/>
      <c r="E158" s="534"/>
      <c r="F158" s="534"/>
      <c r="G158" s="534"/>
      <c r="H158" s="534"/>
      <c r="I158" s="535"/>
      <c r="J158" s="274">
        <f t="shared" ref="J158:M159" si="216">J118</f>
        <v>0</v>
      </c>
      <c r="K158" s="158" t="str">
        <f t="shared" si="216"/>
        <v/>
      </c>
      <c r="L158" s="275">
        <f t="shared" si="216"/>
        <v>0</v>
      </c>
      <c r="M158" s="158" t="str">
        <f t="shared" si="216"/>
        <v/>
      </c>
      <c r="N158" s="275">
        <f t="shared" si="189"/>
        <v>0</v>
      </c>
      <c r="O158" s="70" t="e">
        <f t="shared" si="190"/>
        <v>#VALUE!</v>
      </c>
      <c r="P158" s="68"/>
      <c r="Q158" s="467">
        <f t="shared" ref="Q158:T159" si="217">Q118</f>
        <v>0</v>
      </c>
      <c r="R158" s="435" t="str">
        <f t="shared" si="217"/>
        <v/>
      </c>
      <c r="S158" s="435">
        <f t="shared" si="217"/>
        <v>0</v>
      </c>
      <c r="T158" s="435" t="str">
        <f t="shared" si="217"/>
        <v/>
      </c>
      <c r="U158" s="435">
        <f t="shared" si="191"/>
        <v>0</v>
      </c>
      <c r="V158" s="156">
        <f>SUM(V118)</f>
        <v>0</v>
      </c>
      <c r="W158" s="467">
        <f t="shared" ref="W158:X158" si="218">W118</f>
        <v>0</v>
      </c>
      <c r="X158" s="435" t="str">
        <f t="shared" si="218"/>
        <v/>
      </c>
      <c r="Y158" s="435">
        <f t="shared" ref="Y158:Z158" si="219">Y118</f>
        <v>0</v>
      </c>
      <c r="Z158" s="435" t="str">
        <f t="shared" si="219"/>
        <v/>
      </c>
      <c r="AA158" s="435">
        <f t="shared" si="192"/>
        <v>0</v>
      </c>
      <c r="AB158" s="156">
        <f>SUM(AB118)</f>
        <v>0</v>
      </c>
      <c r="AC158" s="467">
        <f t="shared" ref="AC158:AD158" si="220">AC118</f>
        <v>0</v>
      </c>
      <c r="AD158" s="435" t="str">
        <f t="shared" si="220"/>
        <v/>
      </c>
      <c r="AE158" s="435">
        <f t="shared" ref="AE158:AF158" si="221">AE118</f>
        <v>0</v>
      </c>
      <c r="AF158" s="435" t="str">
        <f t="shared" si="221"/>
        <v/>
      </c>
      <c r="AG158" s="435">
        <f t="shared" si="193"/>
        <v>0</v>
      </c>
      <c r="AH158" s="155" t="e">
        <f t="shared" si="194"/>
        <v>#VALUE!</v>
      </c>
      <c r="AI158" s="274">
        <f t="shared" si="195"/>
        <v>0</v>
      </c>
      <c r="AJ158" s="158" t="str">
        <f t="shared" ref="AJ158:AL159" si="222">AJ118</f>
        <v/>
      </c>
      <c r="AK158" s="275">
        <f t="shared" si="196"/>
        <v>0</v>
      </c>
      <c r="AL158" s="158" t="str">
        <f t="shared" si="222"/>
        <v/>
      </c>
      <c r="AM158" s="158">
        <f t="shared" si="197"/>
        <v>0</v>
      </c>
      <c r="AN158" s="156">
        <f>SUM(AN118)</f>
        <v>0</v>
      </c>
      <c r="AO158" s="147"/>
      <c r="AP158" s="467">
        <f t="shared" ref="AP158:AQ158" si="223">AP118</f>
        <v>0</v>
      </c>
      <c r="AQ158" s="435" t="str">
        <f t="shared" si="223"/>
        <v/>
      </c>
      <c r="AR158" s="435">
        <f t="shared" ref="AR158:AS158" si="224">AR118</f>
        <v>0</v>
      </c>
      <c r="AS158" s="435" t="str">
        <f t="shared" si="224"/>
        <v/>
      </c>
      <c r="AT158" s="435">
        <f t="shared" si="198"/>
        <v>0</v>
      </c>
      <c r="AU158" s="156">
        <f>SUM(AU118)</f>
        <v>0</v>
      </c>
      <c r="AV158" s="467">
        <f t="shared" ref="AV158:AW158" si="225">AV118</f>
        <v>0</v>
      </c>
      <c r="AW158" s="435" t="str">
        <f t="shared" si="225"/>
        <v/>
      </c>
      <c r="AX158" s="435">
        <f t="shared" ref="AX158:AY158" si="226">AX118</f>
        <v>0</v>
      </c>
      <c r="AY158" s="435" t="str">
        <f t="shared" si="226"/>
        <v/>
      </c>
      <c r="AZ158" s="435">
        <f t="shared" si="199"/>
        <v>0</v>
      </c>
      <c r="BA158" s="156">
        <f>SUM(BA118)</f>
        <v>0</v>
      </c>
      <c r="BB158" s="467">
        <f t="shared" ref="BB158:BC158" si="227">BB118</f>
        <v>0</v>
      </c>
      <c r="BC158" s="435" t="str">
        <f t="shared" si="227"/>
        <v/>
      </c>
      <c r="BD158" s="435">
        <f t="shared" ref="BD158:BE158" si="228">BD118</f>
        <v>0</v>
      </c>
      <c r="BE158" s="435" t="str">
        <f t="shared" si="228"/>
        <v/>
      </c>
      <c r="BF158" s="435">
        <f t="shared" si="200"/>
        <v>0</v>
      </c>
      <c r="BG158" s="156">
        <f>SUM(BG118)</f>
        <v>0</v>
      </c>
      <c r="BH158" s="274">
        <f t="shared" si="201"/>
        <v>0</v>
      </c>
      <c r="BI158" s="158" t="str">
        <f t="shared" ref="BI158" si="229">BI118</f>
        <v/>
      </c>
      <c r="BJ158" s="275">
        <f t="shared" si="202"/>
        <v>0</v>
      </c>
      <c r="BK158" s="158" t="str">
        <f t="shared" ref="BK158" si="230">BK118</f>
        <v/>
      </c>
      <c r="BL158" s="158">
        <f t="shared" si="203"/>
        <v>0</v>
      </c>
      <c r="BM158" s="156">
        <f>SUM(BM118)</f>
        <v>0</v>
      </c>
      <c r="BN158" s="147"/>
      <c r="BO158" s="467">
        <f t="shared" ref="BO158:BP158" si="231">BO118</f>
        <v>0</v>
      </c>
      <c r="BP158" s="435" t="str">
        <f t="shared" si="231"/>
        <v/>
      </c>
      <c r="BQ158" s="435">
        <f t="shared" ref="BQ158:BR158" si="232">BQ118</f>
        <v>0</v>
      </c>
      <c r="BR158" s="435" t="str">
        <f t="shared" si="232"/>
        <v/>
      </c>
      <c r="BS158" s="435">
        <f t="shared" si="204"/>
        <v>0</v>
      </c>
      <c r="BT158" s="156">
        <f>SUM(BT118)</f>
        <v>0</v>
      </c>
      <c r="BU158" s="467">
        <f t="shared" ref="BU158:BV158" si="233">BU118</f>
        <v>0</v>
      </c>
      <c r="BV158" s="435" t="str">
        <f t="shared" si="233"/>
        <v/>
      </c>
      <c r="BW158" s="435">
        <f t="shared" ref="BW158:BX158" si="234">BW118</f>
        <v>0</v>
      </c>
      <c r="BX158" s="435" t="str">
        <f t="shared" si="234"/>
        <v/>
      </c>
      <c r="BY158" s="435">
        <f t="shared" si="205"/>
        <v>0</v>
      </c>
      <c r="BZ158" s="156">
        <f>SUM(BZ118)</f>
        <v>0</v>
      </c>
      <c r="CA158" s="467">
        <f t="shared" ref="CA158:CB158" si="235">CA118</f>
        <v>0</v>
      </c>
      <c r="CB158" s="435" t="str">
        <f t="shared" si="235"/>
        <v/>
      </c>
      <c r="CC158" s="435">
        <f t="shared" ref="CC158:CD158" si="236">CC118</f>
        <v>0</v>
      </c>
      <c r="CD158" s="435" t="str">
        <f t="shared" si="236"/>
        <v/>
      </c>
      <c r="CE158" s="435">
        <f t="shared" si="206"/>
        <v>0</v>
      </c>
      <c r="CF158" s="156">
        <f>SUM(CF118)</f>
        <v>0</v>
      </c>
      <c r="CG158" s="274">
        <f t="shared" si="207"/>
        <v>0</v>
      </c>
      <c r="CH158" s="158" t="str">
        <f t="shared" ref="CH158" si="237">CH118</f>
        <v/>
      </c>
      <c r="CI158" s="275">
        <f t="shared" si="208"/>
        <v>0</v>
      </c>
      <c r="CJ158" s="158" t="str">
        <f t="shared" ref="CJ158" si="238">CJ118</f>
        <v/>
      </c>
      <c r="CK158" s="158">
        <f t="shared" si="209"/>
        <v>0</v>
      </c>
      <c r="CL158" s="156">
        <f>SUM(CL118)</f>
        <v>0</v>
      </c>
      <c r="CM158" s="148"/>
      <c r="CN158" s="467">
        <f t="shared" ref="CN158:CO158" si="239">CN118</f>
        <v>0</v>
      </c>
      <c r="CO158" s="435" t="str">
        <f t="shared" si="239"/>
        <v/>
      </c>
      <c r="CP158" s="435">
        <f t="shared" ref="CP158:CQ158" si="240">CP118</f>
        <v>0</v>
      </c>
      <c r="CQ158" s="435" t="str">
        <f t="shared" si="240"/>
        <v/>
      </c>
      <c r="CR158" s="435">
        <f t="shared" si="210"/>
        <v>0</v>
      </c>
      <c r="CS158" s="156">
        <f>SUM(CS118)</f>
        <v>0</v>
      </c>
      <c r="CT158" s="467">
        <f t="shared" ref="CT158:CU158" si="241">CT118</f>
        <v>0</v>
      </c>
      <c r="CU158" s="435" t="str">
        <f t="shared" si="241"/>
        <v/>
      </c>
      <c r="CV158" s="435">
        <f t="shared" ref="CV158:CW158" si="242">CV118</f>
        <v>0</v>
      </c>
      <c r="CW158" s="435" t="str">
        <f t="shared" si="242"/>
        <v/>
      </c>
      <c r="CX158" s="435">
        <f t="shared" si="211"/>
        <v>0</v>
      </c>
      <c r="CY158" s="156">
        <f>SUM(CY118)</f>
        <v>0</v>
      </c>
      <c r="CZ158" s="467">
        <f t="shared" ref="CZ158:DA158" si="243">CZ118</f>
        <v>0</v>
      </c>
      <c r="DA158" s="435" t="str">
        <f t="shared" si="243"/>
        <v/>
      </c>
      <c r="DB158" s="435">
        <f t="shared" ref="DB158:DC158" si="244">DB118</f>
        <v>0</v>
      </c>
      <c r="DC158" s="435" t="str">
        <f t="shared" si="244"/>
        <v/>
      </c>
      <c r="DD158" s="435">
        <f t="shared" si="212"/>
        <v>0</v>
      </c>
      <c r="DE158" s="156">
        <f>SUM(DE118)</f>
        <v>0</v>
      </c>
      <c r="DF158" s="274">
        <f t="shared" si="213"/>
        <v>0</v>
      </c>
      <c r="DG158" s="158" t="str">
        <f t="shared" ref="DG158" si="245">DG118</f>
        <v/>
      </c>
      <c r="DH158" s="275">
        <f t="shared" si="214"/>
        <v>0</v>
      </c>
      <c r="DI158" s="158" t="str">
        <f t="shared" ref="DI158" si="246">DI118</f>
        <v/>
      </c>
      <c r="DJ158" s="158">
        <f t="shared" si="215"/>
        <v>0</v>
      </c>
      <c r="DK158" s="33">
        <f>SUM(DK118)</f>
        <v>0</v>
      </c>
    </row>
    <row r="159" spans="1:115" s="3" customFormat="1" ht="21.75" customHeight="1" x14ac:dyDescent="0.25">
      <c r="A159" s="80">
        <v>150</v>
      </c>
      <c r="B159" s="536" t="s">
        <v>117</v>
      </c>
      <c r="C159" s="537"/>
      <c r="D159" s="537"/>
      <c r="E159" s="537"/>
      <c r="F159" s="537"/>
      <c r="G159" s="537"/>
      <c r="H159" s="537"/>
      <c r="I159" s="538"/>
      <c r="J159" s="274">
        <f t="shared" si="216"/>
        <v>0</v>
      </c>
      <c r="K159" s="158" t="str">
        <f t="shared" si="216"/>
        <v/>
      </c>
      <c r="L159" s="275">
        <f t="shared" si="216"/>
        <v>0</v>
      </c>
      <c r="M159" s="158" t="str">
        <f t="shared" si="216"/>
        <v/>
      </c>
      <c r="N159" s="275">
        <f t="shared" si="189"/>
        <v>0</v>
      </c>
      <c r="O159" s="70" t="e">
        <f t="shared" si="190"/>
        <v>#VALUE!</v>
      </c>
      <c r="P159" s="68"/>
      <c r="Q159" s="467">
        <f t="shared" si="217"/>
        <v>0</v>
      </c>
      <c r="R159" s="435" t="str">
        <f t="shared" si="217"/>
        <v/>
      </c>
      <c r="S159" s="435">
        <f t="shared" si="217"/>
        <v>0</v>
      </c>
      <c r="T159" s="435" t="str">
        <f t="shared" si="217"/>
        <v/>
      </c>
      <c r="U159" s="435">
        <f t="shared" si="191"/>
        <v>0</v>
      </c>
      <c r="V159" s="156">
        <f>V119</f>
        <v>0</v>
      </c>
      <c r="W159" s="467">
        <f t="shared" ref="W159:X159" si="247">W119</f>
        <v>0</v>
      </c>
      <c r="X159" s="435" t="str">
        <f t="shared" si="247"/>
        <v/>
      </c>
      <c r="Y159" s="435">
        <f t="shared" ref="Y159:Z159" si="248">Y119</f>
        <v>0</v>
      </c>
      <c r="Z159" s="435" t="str">
        <f t="shared" si="248"/>
        <v/>
      </c>
      <c r="AA159" s="435">
        <f t="shared" si="192"/>
        <v>0</v>
      </c>
      <c r="AB159" s="156">
        <f>AB119</f>
        <v>0</v>
      </c>
      <c r="AC159" s="467">
        <f t="shared" ref="AC159:AD159" si="249">AC119</f>
        <v>0</v>
      </c>
      <c r="AD159" s="435" t="str">
        <f t="shared" si="249"/>
        <v/>
      </c>
      <c r="AE159" s="435">
        <f t="shared" ref="AE159:AF159" si="250">AE119</f>
        <v>0</v>
      </c>
      <c r="AF159" s="435" t="str">
        <f t="shared" si="250"/>
        <v/>
      </c>
      <c r="AG159" s="435">
        <f t="shared" si="193"/>
        <v>0</v>
      </c>
      <c r="AH159" s="155" t="e">
        <f t="shared" si="194"/>
        <v>#VALUE!</v>
      </c>
      <c r="AI159" s="274">
        <f t="shared" si="195"/>
        <v>0</v>
      </c>
      <c r="AJ159" s="158" t="str">
        <f t="shared" si="222"/>
        <v/>
      </c>
      <c r="AK159" s="275">
        <f t="shared" si="196"/>
        <v>0</v>
      </c>
      <c r="AL159" s="158" t="str">
        <f t="shared" si="222"/>
        <v/>
      </c>
      <c r="AM159" s="158">
        <f t="shared" si="197"/>
        <v>0</v>
      </c>
      <c r="AN159" s="156">
        <f>AN119</f>
        <v>0</v>
      </c>
      <c r="AO159" s="147"/>
      <c r="AP159" s="467">
        <f t="shared" ref="AP159:AQ159" si="251">AP119</f>
        <v>0</v>
      </c>
      <c r="AQ159" s="435" t="str">
        <f t="shared" si="251"/>
        <v/>
      </c>
      <c r="AR159" s="435">
        <f t="shared" ref="AR159:AS159" si="252">AR119</f>
        <v>0</v>
      </c>
      <c r="AS159" s="435" t="str">
        <f t="shared" si="252"/>
        <v/>
      </c>
      <c r="AT159" s="435">
        <f t="shared" si="198"/>
        <v>0</v>
      </c>
      <c r="AU159" s="156">
        <f>AU119</f>
        <v>0</v>
      </c>
      <c r="AV159" s="467">
        <f t="shared" ref="AV159:AW159" si="253">AV119</f>
        <v>0</v>
      </c>
      <c r="AW159" s="435" t="str">
        <f t="shared" si="253"/>
        <v/>
      </c>
      <c r="AX159" s="435">
        <f t="shared" ref="AX159:AY159" si="254">AX119</f>
        <v>0</v>
      </c>
      <c r="AY159" s="435" t="str">
        <f t="shared" si="254"/>
        <v/>
      </c>
      <c r="AZ159" s="435">
        <f t="shared" si="199"/>
        <v>0</v>
      </c>
      <c r="BA159" s="156">
        <f>BA119</f>
        <v>0</v>
      </c>
      <c r="BB159" s="467">
        <f t="shared" ref="BB159:BC159" si="255">BB119</f>
        <v>0</v>
      </c>
      <c r="BC159" s="435" t="str">
        <f t="shared" si="255"/>
        <v/>
      </c>
      <c r="BD159" s="435">
        <f t="shared" ref="BD159:BE159" si="256">BD119</f>
        <v>0</v>
      </c>
      <c r="BE159" s="435" t="str">
        <f t="shared" si="256"/>
        <v/>
      </c>
      <c r="BF159" s="435">
        <f t="shared" si="200"/>
        <v>0</v>
      </c>
      <c r="BG159" s="156">
        <f>BG119</f>
        <v>0</v>
      </c>
      <c r="BH159" s="274">
        <f t="shared" si="201"/>
        <v>0</v>
      </c>
      <c r="BI159" s="158" t="str">
        <f t="shared" ref="BI159" si="257">BI119</f>
        <v/>
      </c>
      <c r="BJ159" s="275">
        <f t="shared" si="202"/>
        <v>0</v>
      </c>
      <c r="BK159" s="158" t="str">
        <f t="shared" ref="BK159" si="258">BK119</f>
        <v/>
      </c>
      <c r="BL159" s="158">
        <f t="shared" si="203"/>
        <v>0</v>
      </c>
      <c r="BM159" s="156">
        <f>BM119</f>
        <v>0</v>
      </c>
      <c r="BN159" s="147"/>
      <c r="BO159" s="467">
        <f t="shared" ref="BO159:BP159" si="259">BO119</f>
        <v>0</v>
      </c>
      <c r="BP159" s="435" t="str">
        <f t="shared" si="259"/>
        <v/>
      </c>
      <c r="BQ159" s="435">
        <f t="shared" ref="BQ159:BR159" si="260">BQ119</f>
        <v>0</v>
      </c>
      <c r="BR159" s="435" t="str">
        <f t="shared" si="260"/>
        <v/>
      </c>
      <c r="BS159" s="435">
        <f t="shared" si="204"/>
        <v>0</v>
      </c>
      <c r="BT159" s="156">
        <f>BT119</f>
        <v>0</v>
      </c>
      <c r="BU159" s="467">
        <f t="shared" ref="BU159:BV159" si="261">BU119</f>
        <v>0</v>
      </c>
      <c r="BV159" s="435" t="str">
        <f t="shared" si="261"/>
        <v/>
      </c>
      <c r="BW159" s="435">
        <f t="shared" ref="BW159:BX159" si="262">BW119</f>
        <v>0</v>
      </c>
      <c r="BX159" s="435" t="str">
        <f t="shared" si="262"/>
        <v/>
      </c>
      <c r="BY159" s="435">
        <f t="shared" si="205"/>
        <v>0</v>
      </c>
      <c r="BZ159" s="156">
        <f>BZ119</f>
        <v>0</v>
      </c>
      <c r="CA159" s="467">
        <f t="shared" ref="CA159:CB159" si="263">CA119</f>
        <v>0</v>
      </c>
      <c r="CB159" s="435" t="str">
        <f t="shared" si="263"/>
        <v/>
      </c>
      <c r="CC159" s="435">
        <f t="shared" ref="CC159:CD159" si="264">CC119</f>
        <v>0</v>
      </c>
      <c r="CD159" s="435" t="str">
        <f t="shared" si="264"/>
        <v/>
      </c>
      <c r="CE159" s="435">
        <f t="shared" si="206"/>
        <v>0</v>
      </c>
      <c r="CF159" s="156">
        <f>CF119</f>
        <v>0</v>
      </c>
      <c r="CG159" s="274">
        <f t="shared" si="207"/>
        <v>0</v>
      </c>
      <c r="CH159" s="158" t="str">
        <f t="shared" ref="CH159" si="265">CH119</f>
        <v/>
      </c>
      <c r="CI159" s="275">
        <f t="shared" si="208"/>
        <v>0</v>
      </c>
      <c r="CJ159" s="158" t="str">
        <f t="shared" ref="CJ159" si="266">CJ119</f>
        <v/>
      </c>
      <c r="CK159" s="158">
        <f t="shared" si="209"/>
        <v>0</v>
      </c>
      <c r="CL159" s="156">
        <f>CL119</f>
        <v>0</v>
      </c>
      <c r="CM159" s="148"/>
      <c r="CN159" s="467">
        <f t="shared" ref="CN159:CO159" si="267">CN119</f>
        <v>0</v>
      </c>
      <c r="CO159" s="435" t="str">
        <f t="shared" si="267"/>
        <v/>
      </c>
      <c r="CP159" s="435">
        <f t="shared" ref="CP159:CQ159" si="268">CP119</f>
        <v>0</v>
      </c>
      <c r="CQ159" s="435" t="str">
        <f t="shared" si="268"/>
        <v/>
      </c>
      <c r="CR159" s="435">
        <f t="shared" si="210"/>
        <v>0</v>
      </c>
      <c r="CS159" s="156">
        <f>CS119</f>
        <v>0</v>
      </c>
      <c r="CT159" s="467">
        <f t="shared" ref="CT159:CU159" si="269">CT119</f>
        <v>0</v>
      </c>
      <c r="CU159" s="435" t="str">
        <f t="shared" si="269"/>
        <v/>
      </c>
      <c r="CV159" s="435">
        <f t="shared" ref="CV159:CW159" si="270">CV119</f>
        <v>0</v>
      </c>
      <c r="CW159" s="435" t="str">
        <f t="shared" si="270"/>
        <v/>
      </c>
      <c r="CX159" s="435">
        <f t="shared" si="211"/>
        <v>0</v>
      </c>
      <c r="CY159" s="156">
        <f>CY119</f>
        <v>0</v>
      </c>
      <c r="CZ159" s="467">
        <f t="shared" ref="CZ159:DA159" si="271">CZ119</f>
        <v>0</v>
      </c>
      <c r="DA159" s="435" t="str">
        <f t="shared" si="271"/>
        <v/>
      </c>
      <c r="DB159" s="435">
        <f t="shared" ref="DB159:DC159" si="272">DB119</f>
        <v>0</v>
      </c>
      <c r="DC159" s="435" t="str">
        <f t="shared" si="272"/>
        <v/>
      </c>
      <c r="DD159" s="435">
        <f t="shared" si="212"/>
        <v>0</v>
      </c>
      <c r="DE159" s="156">
        <f>DE119</f>
        <v>0</v>
      </c>
      <c r="DF159" s="274">
        <f t="shared" si="213"/>
        <v>0</v>
      </c>
      <c r="DG159" s="158" t="str">
        <f t="shared" ref="DG159" si="273">DG119</f>
        <v/>
      </c>
      <c r="DH159" s="275">
        <f t="shared" si="214"/>
        <v>0</v>
      </c>
      <c r="DI159" s="158" t="str">
        <f t="shared" ref="DI159" si="274">DI119</f>
        <v/>
      </c>
      <c r="DJ159" s="158">
        <f t="shared" si="215"/>
        <v>0</v>
      </c>
      <c r="DK159" s="33">
        <f>DK119</f>
        <v>0</v>
      </c>
    </row>
    <row r="160" spans="1:115" s="3" customFormat="1" ht="21.75" customHeight="1" thickBot="1" x14ac:dyDescent="0.3">
      <c r="A160" s="80">
        <v>151</v>
      </c>
      <c r="B160" s="539" t="s">
        <v>122</v>
      </c>
      <c r="C160" s="540"/>
      <c r="D160" s="540"/>
      <c r="E160" s="540"/>
      <c r="F160" s="540"/>
      <c r="G160" s="540"/>
      <c r="H160" s="540"/>
      <c r="I160" s="541"/>
      <c r="J160" s="276">
        <f>J123</f>
        <v>0</v>
      </c>
      <c r="K160" s="163" t="str">
        <f>K123</f>
        <v/>
      </c>
      <c r="L160" s="277">
        <f>L123</f>
        <v>0</v>
      </c>
      <c r="M160" s="163" t="str">
        <f>M123</f>
        <v/>
      </c>
      <c r="N160" s="277">
        <f t="shared" si="189"/>
        <v>0</v>
      </c>
      <c r="O160" s="71" t="e">
        <f t="shared" si="190"/>
        <v>#VALUE!</v>
      </c>
      <c r="P160" s="68"/>
      <c r="Q160" s="468">
        <f>Q123</f>
        <v>0</v>
      </c>
      <c r="R160" s="438" t="str">
        <f>R123</f>
        <v/>
      </c>
      <c r="S160" s="438">
        <f>S123</f>
        <v>0</v>
      </c>
      <c r="T160" s="438" t="str">
        <f>T123</f>
        <v/>
      </c>
      <c r="U160" s="438">
        <f t="shared" si="191"/>
        <v>0</v>
      </c>
      <c r="V160" s="161">
        <f>V123</f>
        <v>0</v>
      </c>
      <c r="W160" s="468">
        <f>W123</f>
        <v>0</v>
      </c>
      <c r="X160" s="438" t="str">
        <f>X123</f>
        <v/>
      </c>
      <c r="Y160" s="438">
        <f>Y123</f>
        <v>0</v>
      </c>
      <c r="Z160" s="438" t="str">
        <f>Z123</f>
        <v/>
      </c>
      <c r="AA160" s="438">
        <f t="shared" si="192"/>
        <v>0</v>
      </c>
      <c r="AB160" s="161">
        <f>AB123</f>
        <v>0</v>
      </c>
      <c r="AC160" s="468">
        <f>AC123</f>
        <v>0</v>
      </c>
      <c r="AD160" s="438" t="str">
        <f>AD123</f>
        <v/>
      </c>
      <c r="AE160" s="438">
        <f>AE123</f>
        <v>0</v>
      </c>
      <c r="AF160" s="438" t="str">
        <f>AF123</f>
        <v/>
      </c>
      <c r="AG160" s="438">
        <f t="shared" si="193"/>
        <v>0</v>
      </c>
      <c r="AH160" s="160" t="e">
        <f t="shared" si="194"/>
        <v>#VALUE!</v>
      </c>
      <c r="AI160" s="276">
        <f t="shared" si="195"/>
        <v>0</v>
      </c>
      <c r="AJ160" s="163" t="str">
        <f>AJ123</f>
        <v/>
      </c>
      <c r="AK160" s="277">
        <f t="shared" si="196"/>
        <v>0</v>
      </c>
      <c r="AL160" s="163" t="str">
        <f>AL123</f>
        <v/>
      </c>
      <c r="AM160" s="163">
        <f t="shared" si="197"/>
        <v>0</v>
      </c>
      <c r="AN160" s="161">
        <f>AN123</f>
        <v>0</v>
      </c>
      <c r="AO160" s="147"/>
      <c r="AP160" s="468">
        <f>AP123</f>
        <v>0</v>
      </c>
      <c r="AQ160" s="438" t="str">
        <f>AQ123</f>
        <v/>
      </c>
      <c r="AR160" s="438">
        <f>AR123</f>
        <v>0</v>
      </c>
      <c r="AS160" s="438" t="str">
        <f>AS123</f>
        <v/>
      </c>
      <c r="AT160" s="438">
        <f t="shared" si="198"/>
        <v>0</v>
      </c>
      <c r="AU160" s="161">
        <f>AU123</f>
        <v>0</v>
      </c>
      <c r="AV160" s="468">
        <f>AV123</f>
        <v>0</v>
      </c>
      <c r="AW160" s="438" t="str">
        <f>AW123</f>
        <v/>
      </c>
      <c r="AX160" s="438">
        <f>AX123</f>
        <v>0</v>
      </c>
      <c r="AY160" s="438" t="str">
        <f>AY123</f>
        <v/>
      </c>
      <c r="AZ160" s="438">
        <f t="shared" si="199"/>
        <v>0</v>
      </c>
      <c r="BA160" s="161">
        <f>BA123</f>
        <v>0</v>
      </c>
      <c r="BB160" s="468">
        <f>BB123</f>
        <v>0</v>
      </c>
      <c r="BC160" s="438" t="str">
        <f>BC123</f>
        <v/>
      </c>
      <c r="BD160" s="438">
        <f>BD123</f>
        <v>0</v>
      </c>
      <c r="BE160" s="438" t="str">
        <f>BE123</f>
        <v/>
      </c>
      <c r="BF160" s="438">
        <f t="shared" si="200"/>
        <v>0</v>
      </c>
      <c r="BG160" s="161">
        <f>BG123</f>
        <v>0</v>
      </c>
      <c r="BH160" s="276">
        <f t="shared" si="201"/>
        <v>0</v>
      </c>
      <c r="BI160" s="163" t="str">
        <f>BI123</f>
        <v/>
      </c>
      <c r="BJ160" s="277">
        <f t="shared" si="202"/>
        <v>0</v>
      </c>
      <c r="BK160" s="163" t="str">
        <f>BK123</f>
        <v/>
      </c>
      <c r="BL160" s="163">
        <f t="shared" si="203"/>
        <v>0</v>
      </c>
      <c r="BM160" s="161">
        <f>BM123</f>
        <v>0</v>
      </c>
      <c r="BN160" s="147"/>
      <c r="BO160" s="468">
        <f>BO123</f>
        <v>0</v>
      </c>
      <c r="BP160" s="438" t="str">
        <f>BP123</f>
        <v/>
      </c>
      <c r="BQ160" s="438">
        <f>BQ123</f>
        <v>0</v>
      </c>
      <c r="BR160" s="438" t="str">
        <f>BR123</f>
        <v/>
      </c>
      <c r="BS160" s="438">
        <f t="shared" si="204"/>
        <v>0</v>
      </c>
      <c r="BT160" s="161">
        <f>BT123</f>
        <v>0</v>
      </c>
      <c r="BU160" s="468">
        <f>BU123</f>
        <v>0</v>
      </c>
      <c r="BV160" s="438" t="str">
        <f>BV123</f>
        <v/>
      </c>
      <c r="BW160" s="438">
        <f>BW123</f>
        <v>0</v>
      </c>
      <c r="BX160" s="438" t="str">
        <f>BX123</f>
        <v/>
      </c>
      <c r="BY160" s="438">
        <f t="shared" si="205"/>
        <v>0</v>
      </c>
      <c r="BZ160" s="161">
        <f>BZ123</f>
        <v>0</v>
      </c>
      <c r="CA160" s="468">
        <f>CA123</f>
        <v>0</v>
      </c>
      <c r="CB160" s="438" t="str">
        <f>CB123</f>
        <v/>
      </c>
      <c r="CC160" s="438">
        <f>CC123</f>
        <v>0</v>
      </c>
      <c r="CD160" s="438" t="str">
        <f>CD123</f>
        <v/>
      </c>
      <c r="CE160" s="438">
        <f t="shared" si="206"/>
        <v>0</v>
      </c>
      <c r="CF160" s="161">
        <f>CF123</f>
        <v>0</v>
      </c>
      <c r="CG160" s="276">
        <f t="shared" si="207"/>
        <v>0</v>
      </c>
      <c r="CH160" s="163" t="str">
        <f>CH123</f>
        <v/>
      </c>
      <c r="CI160" s="277">
        <f t="shared" si="208"/>
        <v>0</v>
      </c>
      <c r="CJ160" s="163" t="str">
        <f>CJ123</f>
        <v/>
      </c>
      <c r="CK160" s="163">
        <f t="shared" si="209"/>
        <v>0</v>
      </c>
      <c r="CL160" s="161">
        <f>CL123</f>
        <v>0</v>
      </c>
      <c r="CM160" s="148"/>
      <c r="CN160" s="468">
        <f>CN123</f>
        <v>0</v>
      </c>
      <c r="CO160" s="438" t="str">
        <f>CO123</f>
        <v/>
      </c>
      <c r="CP160" s="438">
        <f>CP123</f>
        <v>0</v>
      </c>
      <c r="CQ160" s="438" t="str">
        <f>CQ123</f>
        <v/>
      </c>
      <c r="CR160" s="438">
        <f t="shared" si="210"/>
        <v>0</v>
      </c>
      <c r="CS160" s="161">
        <f>CS123</f>
        <v>0</v>
      </c>
      <c r="CT160" s="468">
        <f>CT123</f>
        <v>0</v>
      </c>
      <c r="CU160" s="438" t="str">
        <f>CU123</f>
        <v/>
      </c>
      <c r="CV160" s="438">
        <f>CV123</f>
        <v>0</v>
      </c>
      <c r="CW160" s="438" t="str">
        <f>CW123</f>
        <v/>
      </c>
      <c r="CX160" s="438">
        <f t="shared" si="211"/>
        <v>0</v>
      </c>
      <c r="CY160" s="161">
        <f>CY123</f>
        <v>0</v>
      </c>
      <c r="CZ160" s="468">
        <f>CZ123</f>
        <v>0</v>
      </c>
      <c r="DA160" s="438" t="str">
        <f>DA123</f>
        <v/>
      </c>
      <c r="DB160" s="438">
        <f>DB123</f>
        <v>0</v>
      </c>
      <c r="DC160" s="438" t="str">
        <f>DC123</f>
        <v/>
      </c>
      <c r="DD160" s="438">
        <f t="shared" si="212"/>
        <v>0</v>
      </c>
      <c r="DE160" s="161">
        <f>DE123</f>
        <v>0</v>
      </c>
      <c r="DF160" s="276">
        <f t="shared" si="213"/>
        <v>0</v>
      </c>
      <c r="DG160" s="163" t="str">
        <f>DG123</f>
        <v/>
      </c>
      <c r="DH160" s="277">
        <f t="shared" si="214"/>
        <v>0</v>
      </c>
      <c r="DI160" s="163" t="str">
        <f>DI123</f>
        <v/>
      </c>
      <c r="DJ160" s="163">
        <f t="shared" si="215"/>
        <v>0</v>
      </c>
      <c r="DK160" s="35">
        <f>DK123</f>
        <v>0</v>
      </c>
    </row>
    <row r="161" spans="1:114" x14ac:dyDescent="0.25">
      <c r="P161" s="38"/>
      <c r="AO161" s="88"/>
      <c r="BN161" s="88"/>
    </row>
    <row r="162" spans="1:114" x14ac:dyDescent="0.25">
      <c r="P162" s="38"/>
      <c r="AO162" s="88"/>
      <c r="BN162" s="88"/>
    </row>
    <row r="163" spans="1:114" x14ac:dyDescent="0.25">
      <c r="P163" s="38"/>
      <c r="AO163" s="88"/>
      <c r="BN163" s="88"/>
    </row>
    <row r="164" spans="1:114" x14ac:dyDescent="0.25">
      <c r="P164" s="38"/>
      <c r="AO164" s="88"/>
      <c r="BN164" s="88"/>
    </row>
    <row r="165" spans="1:114" x14ac:dyDescent="0.25">
      <c r="P165" s="38"/>
      <c r="AO165" s="88"/>
      <c r="BN165" s="88"/>
    </row>
    <row r="166" spans="1:114" x14ac:dyDescent="0.25">
      <c r="P166" s="38"/>
      <c r="AO166" s="88"/>
      <c r="BN166" s="88"/>
    </row>
    <row r="167" spans="1:114" s="6" customFormat="1" x14ac:dyDescent="0.25">
      <c r="A167" s="80"/>
      <c r="B167" s="3"/>
      <c r="C167" s="3"/>
      <c r="D167" s="3"/>
      <c r="E167" s="3"/>
      <c r="F167" s="3"/>
      <c r="G167" s="3"/>
      <c r="H167" s="3"/>
      <c r="I167" s="3"/>
      <c r="J167" s="91"/>
      <c r="K167" s="91"/>
      <c r="L167" s="91"/>
      <c r="M167" s="91"/>
      <c r="N167" s="91"/>
      <c r="O167" s="40"/>
      <c r="P167" s="40"/>
      <c r="Q167" s="181"/>
      <c r="R167" s="181"/>
      <c r="S167" s="181"/>
      <c r="T167" s="181"/>
      <c r="U167" s="181"/>
      <c r="V167" s="91"/>
      <c r="W167" s="181"/>
      <c r="X167" s="181"/>
      <c r="Y167" s="181"/>
      <c r="Z167" s="181"/>
      <c r="AA167" s="181"/>
      <c r="AB167" s="91"/>
      <c r="AC167" s="181"/>
      <c r="AD167" s="181"/>
      <c r="AE167" s="181"/>
      <c r="AF167" s="181"/>
      <c r="AG167" s="181"/>
      <c r="AH167" s="91"/>
      <c r="AI167" s="181"/>
      <c r="AJ167" s="181"/>
      <c r="AK167" s="181"/>
      <c r="AL167" s="181"/>
      <c r="AM167" s="181"/>
      <c r="AN167" s="91"/>
      <c r="AO167" s="88"/>
      <c r="AP167" s="181"/>
      <c r="AQ167" s="181"/>
      <c r="AR167" s="181"/>
      <c r="AS167" s="181"/>
      <c r="AT167" s="181"/>
      <c r="AU167" s="91"/>
      <c r="AV167" s="181"/>
      <c r="AW167" s="181"/>
      <c r="AX167" s="181"/>
      <c r="AY167" s="181"/>
      <c r="AZ167" s="181"/>
      <c r="BA167" s="91"/>
      <c r="BB167" s="181"/>
      <c r="BC167" s="181"/>
      <c r="BD167" s="181"/>
      <c r="BE167" s="181"/>
      <c r="BF167" s="181"/>
      <c r="BG167" s="91"/>
      <c r="BH167" s="181"/>
      <c r="BI167" s="181"/>
      <c r="BJ167" s="181"/>
      <c r="BK167" s="181"/>
      <c r="BL167" s="181"/>
      <c r="BM167" s="181"/>
      <c r="BN167" s="88"/>
      <c r="BO167" s="181"/>
      <c r="BP167" s="181"/>
      <c r="BQ167" s="181"/>
      <c r="BR167" s="181"/>
      <c r="BS167" s="181"/>
      <c r="BT167" s="91"/>
      <c r="BU167" s="181"/>
      <c r="BV167" s="181"/>
      <c r="BW167" s="181"/>
      <c r="BX167" s="181"/>
      <c r="BY167" s="181"/>
      <c r="BZ167" s="91"/>
      <c r="CA167" s="181"/>
      <c r="CB167" s="181"/>
      <c r="CC167" s="181"/>
      <c r="CD167" s="181"/>
      <c r="CE167" s="181"/>
      <c r="CF167" s="91"/>
      <c r="CG167" s="181"/>
      <c r="CH167" s="181"/>
      <c r="CI167" s="181"/>
      <c r="CJ167" s="181"/>
      <c r="CK167" s="181"/>
      <c r="CL167" s="181"/>
      <c r="CM167" s="181"/>
      <c r="CN167" s="181"/>
      <c r="CO167" s="181"/>
      <c r="CP167" s="181"/>
      <c r="CQ167" s="181"/>
      <c r="CR167" s="181"/>
      <c r="CS167" s="91"/>
      <c r="CT167" s="181"/>
      <c r="CU167" s="181"/>
      <c r="CV167" s="181"/>
      <c r="CW167" s="181"/>
      <c r="CX167" s="181"/>
      <c r="CY167" s="91"/>
      <c r="CZ167" s="181"/>
      <c r="DA167" s="181"/>
      <c r="DB167" s="181"/>
      <c r="DC167" s="181"/>
      <c r="DD167" s="181"/>
      <c r="DE167" s="91"/>
      <c r="DF167" s="181"/>
      <c r="DG167" s="181"/>
      <c r="DH167" s="181"/>
      <c r="DI167" s="181"/>
      <c r="DJ167" s="181"/>
    </row>
    <row r="168" spans="1:114" s="6" customFormat="1" x14ac:dyDescent="0.25">
      <c r="A168" s="80"/>
      <c r="B168" s="3"/>
      <c r="C168" s="3"/>
      <c r="D168" s="3"/>
      <c r="E168" s="3"/>
      <c r="F168" s="3"/>
      <c r="G168" s="3"/>
      <c r="H168" s="3"/>
      <c r="I168" s="3"/>
      <c r="J168" s="91"/>
      <c r="K168" s="91"/>
      <c r="L168" s="91"/>
      <c r="M168" s="91"/>
      <c r="N168" s="91"/>
      <c r="O168" s="40"/>
      <c r="P168" s="40"/>
      <c r="Q168" s="181"/>
      <c r="R168" s="181"/>
      <c r="S168" s="181"/>
      <c r="T168" s="181"/>
      <c r="U168" s="181"/>
      <c r="V168" s="91"/>
      <c r="W168" s="181"/>
      <c r="X168" s="181"/>
      <c r="Y168" s="181"/>
      <c r="Z168" s="181"/>
      <c r="AA168" s="181"/>
      <c r="AB168" s="91"/>
      <c r="AC168" s="181"/>
      <c r="AD168" s="181"/>
      <c r="AE168" s="181"/>
      <c r="AF168" s="181"/>
      <c r="AG168" s="181"/>
      <c r="AH168" s="91"/>
      <c r="AI168" s="181"/>
      <c r="AJ168" s="181"/>
      <c r="AK168" s="181"/>
      <c r="AL168" s="181"/>
      <c r="AM168" s="181"/>
      <c r="AN168" s="91"/>
      <c r="AO168" s="88"/>
      <c r="AP168" s="181"/>
      <c r="AQ168" s="181"/>
      <c r="AR168" s="181"/>
      <c r="AS168" s="181"/>
      <c r="AT168" s="181"/>
      <c r="AU168" s="91"/>
      <c r="AV168" s="181"/>
      <c r="AW168" s="181"/>
      <c r="AX168" s="181"/>
      <c r="AY168" s="181"/>
      <c r="AZ168" s="181"/>
      <c r="BA168" s="91"/>
      <c r="BB168" s="181"/>
      <c r="BC168" s="181"/>
      <c r="BD168" s="181"/>
      <c r="BE168" s="181"/>
      <c r="BF168" s="181"/>
      <c r="BG168" s="91"/>
      <c r="BH168" s="181"/>
      <c r="BI168" s="181"/>
      <c r="BJ168" s="181"/>
      <c r="BK168" s="181"/>
      <c r="BL168" s="181"/>
      <c r="BM168" s="181"/>
      <c r="BN168" s="88"/>
      <c r="BO168" s="181"/>
      <c r="BP168" s="181"/>
      <c r="BQ168" s="181"/>
      <c r="BR168" s="181"/>
      <c r="BS168" s="181"/>
      <c r="BT168" s="91"/>
      <c r="BU168" s="181"/>
      <c r="BV168" s="181"/>
      <c r="BW168" s="181"/>
      <c r="BX168" s="181"/>
      <c r="BY168" s="181"/>
      <c r="BZ168" s="91"/>
      <c r="CA168" s="181"/>
      <c r="CB168" s="181"/>
      <c r="CC168" s="181"/>
      <c r="CD168" s="181"/>
      <c r="CE168" s="181"/>
      <c r="CF168" s="91"/>
      <c r="CG168" s="181"/>
      <c r="CH168" s="181"/>
      <c r="CI168" s="181"/>
      <c r="CJ168" s="181"/>
      <c r="CK168" s="181"/>
      <c r="CL168" s="181"/>
      <c r="CM168" s="181"/>
      <c r="CN168" s="181"/>
      <c r="CO168" s="181"/>
      <c r="CP168" s="181"/>
      <c r="CQ168" s="181"/>
      <c r="CR168" s="181"/>
      <c r="CS168" s="91"/>
      <c r="CT168" s="181"/>
      <c r="CU168" s="181"/>
      <c r="CV168" s="181"/>
      <c r="CW168" s="181"/>
      <c r="CX168" s="181"/>
      <c r="CY168" s="91"/>
      <c r="CZ168" s="181"/>
      <c r="DA168" s="181"/>
      <c r="DB168" s="181"/>
      <c r="DC168" s="181"/>
      <c r="DD168" s="181"/>
      <c r="DE168" s="91"/>
      <c r="DF168" s="181"/>
      <c r="DG168" s="181"/>
      <c r="DH168" s="181"/>
      <c r="DI168" s="181"/>
      <c r="DJ168" s="181"/>
    </row>
    <row r="169" spans="1:114" s="6" customFormat="1" x14ac:dyDescent="0.25">
      <c r="A169" s="80"/>
      <c r="B169" s="3"/>
      <c r="C169" s="3"/>
      <c r="D169" s="3"/>
      <c r="E169" s="3"/>
      <c r="F169" s="3"/>
      <c r="G169" s="3"/>
      <c r="H169" s="3"/>
      <c r="I169" s="3"/>
      <c r="J169" s="91"/>
      <c r="K169" s="91"/>
      <c r="L169" s="91"/>
      <c r="M169" s="91"/>
      <c r="N169" s="91"/>
      <c r="O169" s="40"/>
      <c r="P169" s="40"/>
      <c r="Q169" s="181"/>
      <c r="R169" s="181"/>
      <c r="S169" s="181"/>
      <c r="T169" s="181"/>
      <c r="U169" s="181"/>
      <c r="V169" s="91"/>
      <c r="W169" s="181"/>
      <c r="X169" s="181"/>
      <c r="Y169" s="181"/>
      <c r="Z169" s="181"/>
      <c r="AA169" s="181"/>
      <c r="AB169" s="91"/>
      <c r="AC169" s="181"/>
      <c r="AD169" s="181"/>
      <c r="AE169" s="181"/>
      <c r="AF169" s="181"/>
      <c r="AG169" s="181"/>
      <c r="AH169" s="91"/>
      <c r="AI169" s="181"/>
      <c r="AJ169" s="181"/>
      <c r="AK169" s="181"/>
      <c r="AL169" s="181"/>
      <c r="AM169" s="181"/>
      <c r="AN169" s="91"/>
      <c r="AO169" s="88"/>
      <c r="AP169" s="181"/>
      <c r="AQ169" s="181"/>
      <c r="AR169" s="181"/>
      <c r="AS169" s="181"/>
      <c r="AT169" s="181"/>
      <c r="AU169" s="91"/>
      <c r="AV169" s="181"/>
      <c r="AW169" s="181"/>
      <c r="AX169" s="181"/>
      <c r="AY169" s="181"/>
      <c r="AZ169" s="181"/>
      <c r="BA169" s="91"/>
      <c r="BB169" s="181"/>
      <c r="BC169" s="181"/>
      <c r="BD169" s="181"/>
      <c r="BE169" s="181"/>
      <c r="BF169" s="181"/>
      <c r="BG169" s="91"/>
      <c r="BH169" s="181"/>
      <c r="BI169" s="181"/>
      <c r="BJ169" s="181"/>
      <c r="BK169" s="181"/>
      <c r="BL169" s="181"/>
      <c r="BM169" s="181"/>
      <c r="BN169" s="88"/>
      <c r="BO169" s="181"/>
      <c r="BP169" s="181"/>
      <c r="BQ169" s="181"/>
      <c r="BR169" s="181"/>
      <c r="BS169" s="181"/>
      <c r="BT169" s="91"/>
      <c r="BU169" s="181"/>
      <c r="BV169" s="181"/>
      <c r="BW169" s="181"/>
      <c r="BX169" s="181"/>
      <c r="BY169" s="181"/>
      <c r="BZ169" s="91"/>
      <c r="CA169" s="181"/>
      <c r="CB169" s="181"/>
      <c r="CC169" s="181"/>
      <c r="CD169" s="181"/>
      <c r="CE169" s="181"/>
      <c r="CF169" s="91"/>
      <c r="CG169" s="181"/>
      <c r="CH169" s="181"/>
      <c r="CI169" s="181"/>
      <c r="CJ169" s="181"/>
      <c r="CK169" s="181"/>
      <c r="CL169" s="181"/>
      <c r="CM169" s="181"/>
      <c r="CN169" s="181"/>
      <c r="CO169" s="181"/>
      <c r="CP169" s="181"/>
      <c r="CQ169" s="181"/>
      <c r="CR169" s="181"/>
      <c r="CS169" s="91"/>
      <c r="CT169" s="181"/>
      <c r="CU169" s="181"/>
      <c r="CV169" s="181"/>
      <c r="CW169" s="181"/>
      <c r="CX169" s="181"/>
      <c r="CY169" s="91"/>
      <c r="CZ169" s="181"/>
      <c r="DA169" s="181"/>
      <c r="DB169" s="181"/>
      <c r="DC169" s="181"/>
      <c r="DD169" s="181"/>
      <c r="DE169" s="91"/>
      <c r="DF169" s="181"/>
      <c r="DG169" s="181"/>
      <c r="DH169" s="181"/>
      <c r="DI169" s="181"/>
      <c r="DJ169" s="181"/>
    </row>
    <row r="170" spans="1:114" s="6" customFormat="1" x14ac:dyDescent="0.25">
      <c r="A170" s="80"/>
      <c r="B170" s="3"/>
      <c r="C170" s="3"/>
      <c r="D170" s="3"/>
      <c r="E170" s="3"/>
      <c r="F170" s="3"/>
      <c r="G170" s="3"/>
      <c r="H170" s="3"/>
      <c r="I170" s="3"/>
      <c r="J170" s="91"/>
      <c r="K170" s="91"/>
      <c r="L170" s="91"/>
      <c r="M170" s="91"/>
      <c r="N170" s="91"/>
      <c r="O170" s="40"/>
      <c r="P170" s="40"/>
      <c r="Q170" s="181"/>
      <c r="R170" s="181"/>
      <c r="S170" s="181"/>
      <c r="T170" s="181"/>
      <c r="U170" s="181"/>
      <c r="V170" s="91"/>
      <c r="W170" s="181"/>
      <c r="X170" s="181"/>
      <c r="Y170" s="181"/>
      <c r="Z170" s="181"/>
      <c r="AA170" s="181"/>
      <c r="AB170" s="91"/>
      <c r="AC170" s="181"/>
      <c r="AD170" s="181"/>
      <c r="AE170" s="181"/>
      <c r="AF170" s="181"/>
      <c r="AG170" s="181"/>
      <c r="AH170" s="91"/>
      <c r="AI170" s="181"/>
      <c r="AJ170" s="181"/>
      <c r="AK170" s="181"/>
      <c r="AL170" s="181"/>
      <c r="AM170" s="181"/>
      <c r="AN170" s="91"/>
      <c r="AO170" s="88"/>
      <c r="AP170" s="181"/>
      <c r="AQ170" s="181"/>
      <c r="AR170" s="181"/>
      <c r="AS170" s="181"/>
      <c r="AT170" s="181"/>
      <c r="AU170" s="91"/>
      <c r="AV170" s="181"/>
      <c r="AW170" s="181"/>
      <c r="AX170" s="181"/>
      <c r="AY170" s="181"/>
      <c r="AZ170" s="181"/>
      <c r="BA170" s="91"/>
      <c r="BB170" s="181"/>
      <c r="BC170" s="181"/>
      <c r="BD170" s="181"/>
      <c r="BE170" s="181"/>
      <c r="BF170" s="181"/>
      <c r="BG170" s="91"/>
      <c r="BH170" s="181"/>
      <c r="BI170" s="181"/>
      <c r="BJ170" s="181"/>
      <c r="BK170" s="181"/>
      <c r="BL170" s="181"/>
      <c r="BM170" s="181"/>
      <c r="BN170" s="88"/>
      <c r="BO170" s="181"/>
      <c r="BP170" s="181"/>
      <c r="BQ170" s="181"/>
      <c r="BR170" s="181"/>
      <c r="BS170" s="181"/>
      <c r="BT170" s="91"/>
      <c r="BU170" s="181"/>
      <c r="BV170" s="181"/>
      <c r="BW170" s="181"/>
      <c r="BX170" s="181"/>
      <c r="BY170" s="181"/>
      <c r="BZ170" s="91"/>
      <c r="CA170" s="181"/>
      <c r="CB170" s="181"/>
      <c r="CC170" s="181"/>
      <c r="CD170" s="181"/>
      <c r="CE170" s="181"/>
      <c r="CF170" s="91"/>
      <c r="CG170" s="181"/>
      <c r="CH170" s="181"/>
      <c r="CI170" s="181"/>
      <c r="CJ170" s="181"/>
      <c r="CK170" s="181"/>
      <c r="CL170" s="181"/>
      <c r="CM170" s="181"/>
      <c r="CN170" s="181"/>
      <c r="CO170" s="181"/>
      <c r="CP170" s="181"/>
      <c r="CQ170" s="181"/>
      <c r="CR170" s="181"/>
      <c r="CS170" s="91"/>
      <c r="CT170" s="181"/>
      <c r="CU170" s="181"/>
      <c r="CV170" s="181"/>
      <c r="CW170" s="181"/>
      <c r="CX170" s="181"/>
      <c r="CY170" s="91"/>
      <c r="CZ170" s="181"/>
      <c r="DA170" s="181"/>
      <c r="DB170" s="181"/>
      <c r="DC170" s="181"/>
      <c r="DD170" s="181"/>
      <c r="DE170" s="91"/>
      <c r="DF170" s="181"/>
      <c r="DG170" s="181"/>
      <c r="DH170" s="181"/>
      <c r="DI170" s="181"/>
      <c r="DJ170" s="181"/>
    </row>
    <row r="171" spans="1:114" s="6" customFormat="1" x14ac:dyDescent="0.25">
      <c r="A171" s="80"/>
      <c r="B171" s="3"/>
      <c r="C171" s="3"/>
      <c r="D171" s="3"/>
      <c r="E171" s="3"/>
      <c r="F171" s="3"/>
      <c r="G171" s="3"/>
      <c r="H171" s="3"/>
      <c r="I171" s="3"/>
      <c r="J171" s="91"/>
      <c r="K171" s="91"/>
      <c r="L171" s="91"/>
      <c r="M171" s="91"/>
      <c r="N171" s="91"/>
      <c r="O171" s="40"/>
      <c r="P171" s="40"/>
      <c r="Q171" s="181"/>
      <c r="R171" s="181"/>
      <c r="S171" s="181"/>
      <c r="T171" s="181"/>
      <c r="U171" s="181"/>
      <c r="V171" s="91"/>
      <c r="W171" s="181"/>
      <c r="X171" s="181"/>
      <c r="Y171" s="181"/>
      <c r="Z171" s="181"/>
      <c r="AA171" s="181"/>
      <c r="AB171" s="91"/>
      <c r="AC171" s="181"/>
      <c r="AD171" s="181"/>
      <c r="AE171" s="181"/>
      <c r="AF171" s="181"/>
      <c r="AG171" s="181"/>
      <c r="AH171" s="91"/>
      <c r="AI171" s="181"/>
      <c r="AJ171" s="181"/>
      <c r="AK171" s="181"/>
      <c r="AL171" s="181"/>
      <c r="AM171" s="181"/>
      <c r="AN171" s="91"/>
      <c r="AO171" s="88"/>
      <c r="AP171" s="181"/>
      <c r="AQ171" s="181"/>
      <c r="AR171" s="181"/>
      <c r="AS171" s="181"/>
      <c r="AT171" s="181"/>
      <c r="AU171" s="91"/>
      <c r="AV171" s="181"/>
      <c r="AW171" s="181"/>
      <c r="AX171" s="181"/>
      <c r="AY171" s="181"/>
      <c r="AZ171" s="181"/>
      <c r="BA171" s="91"/>
      <c r="BB171" s="181"/>
      <c r="BC171" s="181"/>
      <c r="BD171" s="181"/>
      <c r="BE171" s="181"/>
      <c r="BF171" s="181"/>
      <c r="BG171" s="91"/>
      <c r="BH171" s="181"/>
      <c r="BI171" s="181"/>
      <c r="BJ171" s="181"/>
      <c r="BK171" s="181"/>
      <c r="BL171" s="181"/>
      <c r="BM171" s="181"/>
      <c r="BN171" s="88"/>
      <c r="BO171" s="181"/>
      <c r="BP171" s="181"/>
      <c r="BQ171" s="181"/>
      <c r="BR171" s="181"/>
      <c r="BS171" s="181"/>
      <c r="BT171" s="91"/>
      <c r="BU171" s="181"/>
      <c r="BV171" s="181"/>
      <c r="BW171" s="181"/>
      <c r="BX171" s="181"/>
      <c r="BY171" s="181"/>
      <c r="BZ171" s="91"/>
      <c r="CA171" s="181"/>
      <c r="CB171" s="181"/>
      <c r="CC171" s="181"/>
      <c r="CD171" s="181"/>
      <c r="CE171" s="181"/>
      <c r="CF171" s="91"/>
      <c r="CG171" s="181"/>
      <c r="CH171" s="181"/>
      <c r="CI171" s="181"/>
      <c r="CJ171" s="181"/>
      <c r="CK171" s="181"/>
      <c r="CL171" s="181"/>
      <c r="CM171" s="181"/>
      <c r="CN171" s="181"/>
      <c r="CO171" s="181"/>
      <c r="CP171" s="181"/>
      <c r="CQ171" s="181"/>
      <c r="CR171" s="181"/>
      <c r="CS171" s="91"/>
      <c r="CT171" s="181"/>
      <c r="CU171" s="181"/>
      <c r="CV171" s="181"/>
      <c r="CW171" s="181"/>
      <c r="CX171" s="181"/>
      <c r="CY171" s="91"/>
      <c r="CZ171" s="181"/>
      <c r="DA171" s="181"/>
      <c r="DB171" s="181"/>
      <c r="DC171" s="181"/>
      <c r="DD171" s="181"/>
      <c r="DE171" s="91"/>
      <c r="DF171" s="181"/>
      <c r="DG171" s="181"/>
      <c r="DH171" s="181"/>
      <c r="DI171" s="181"/>
      <c r="DJ171" s="181"/>
    </row>
    <row r="172" spans="1:114" s="6" customFormat="1" x14ac:dyDescent="0.25">
      <c r="A172" s="80"/>
      <c r="B172" s="3"/>
      <c r="C172" s="3"/>
      <c r="D172" s="3"/>
      <c r="E172" s="3"/>
      <c r="F172" s="3"/>
      <c r="G172" s="3"/>
      <c r="H172" s="3"/>
      <c r="I172" s="3"/>
      <c r="J172" s="91"/>
      <c r="K172" s="91"/>
      <c r="L172" s="91"/>
      <c r="M172" s="91"/>
      <c r="N172" s="91"/>
      <c r="O172" s="40"/>
      <c r="P172" s="40"/>
      <c r="Q172" s="181"/>
      <c r="R172" s="181"/>
      <c r="S172" s="181"/>
      <c r="T172" s="181"/>
      <c r="U172" s="181"/>
      <c r="V172" s="91"/>
      <c r="W172" s="181"/>
      <c r="X172" s="181"/>
      <c r="Y172" s="181"/>
      <c r="Z172" s="181"/>
      <c r="AA172" s="181"/>
      <c r="AB172" s="91"/>
      <c r="AC172" s="181"/>
      <c r="AD172" s="181"/>
      <c r="AE172" s="181"/>
      <c r="AF172" s="181"/>
      <c r="AG172" s="181"/>
      <c r="AH172" s="91"/>
      <c r="AI172" s="181"/>
      <c r="AJ172" s="181"/>
      <c r="AK172" s="181"/>
      <c r="AL172" s="181"/>
      <c r="AM172" s="181"/>
      <c r="AN172" s="91"/>
      <c r="AO172" s="88"/>
      <c r="AP172" s="181"/>
      <c r="AQ172" s="181"/>
      <c r="AR172" s="181"/>
      <c r="AS172" s="181"/>
      <c r="AT172" s="181"/>
      <c r="AU172" s="91"/>
      <c r="AV172" s="181"/>
      <c r="AW172" s="181"/>
      <c r="AX172" s="181"/>
      <c r="AY172" s="181"/>
      <c r="AZ172" s="181"/>
      <c r="BA172" s="91"/>
      <c r="BB172" s="181"/>
      <c r="BC172" s="181"/>
      <c r="BD172" s="181"/>
      <c r="BE172" s="181"/>
      <c r="BF172" s="181"/>
      <c r="BG172" s="91"/>
      <c r="BH172" s="181"/>
      <c r="BI172" s="181"/>
      <c r="BJ172" s="181"/>
      <c r="BK172" s="181"/>
      <c r="BL172" s="181"/>
      <c r="BM172" s="181"/>
      <c r="BN172" s="88"/>
      <c r="BO172" s="181"/>
      <c r="BP172" s="181"/>
      <c r="BQ172" s="181"/>
      <c r="BR172" s="181"/>
      <c r="BS172" s="181"/>
      <c r="BT172" s="91"/>
      <c r="BU172" s="181"/>
      <c r="BV172" s="181"/>
      <c r="BW172" s="181"/>
      <c r="BX172" s="181"/>
      <c r="BY172" s="181"/>
      <c r="BZ172" s="91"/>
      <c r="CA172" s="181"/>
      <c r="CB172" s="181"/>
      <c r="CC172" s="181"/>
      <c r="CD172" s="181"/>
      <c r="CE172" s="181"/>
      <c r="CF172" s="91"/>
      <c r="CG172" s="181"/>
      <c r="CH172" s="181"/>
      <c r="CI172" s="181"/>
      <c r="CJ172" s="181"/>
      <c r="CK172" s="181"/>
      <c r="CL172" s="181"/>
      <c r="CM172" s="181"/>
      <c r="CN172" s="181"/>
      <c r="CO172" s="181"/>
      <c r="CP172" s="181"/>
      <c r="CQ172" s="181"/>
      <c r="CR172" s="181"/>
      <c r="CS172" s="91"/>
      <c r="CT172" s="181"/>
      <c r="CU172" s="181"/>
      <c r="CV172" s="181"/>
      <c r="CW172" s="181"/>
      <c r="CX172" s="181"/>
      <c r="CY172" s="91"/>
      <c r="CZ172" s="181"/>
      <c r="DA172" s="181"/>
      <c r="DB172" s="181"/>
      <c r="DC172" s="181"/>
      <c r="DD172" s="181"/>
      <c r="DE172" s="91"/>
      <c r="DF172" s="181"/>
      <c r="DG172" s="181"/>
      <c r="DH172" s="181"/>
      <c r="DI172" s="181"/>
      <c r="DJ172" s="181"/>
    </row>
    <row r="173" spans="1:114" s="6" customFormat="1" x14ac:dyDescent="0.25">
      <c r="A173" s="80"/>
      <c r="B173" s="3"/>
      <c r="C173" s="3"/>
      <c r="D173" s="3"/>
      <c r="E173" s="3"/>
      <c r="F173" s="3"/>
      <c r="G173" s="3"/>
      <c r="H173" s="3"/>
      <c r="I173" s="3"/>
      <c r="J173" s="91"/>
      <c r="K173" s="91"/>
      <c r="L173" s="91"/>
      <c r="M173" s="91"/>
      <c r="N173" s="91"/>
      <c r="O173" s="40"/>
      <c r="P173" s="40"/>
      <c r="Q173" s="181"/>
      <c r="R173" s="181"/>
      <c r="S173" s="181"/>
      <c r="T173" s="181"/>
      <c r="U173" s="181"/>
      <c r="V173" s="91"/>
      <c r="W173" s="181"/>
      <c r="X173" s="181"/>
      <c r="Y173" s="181"/>
      <c r="Z173" s="181"/>
      <c r="AA173" s="181"/>
      <c r="AB173" s="91"/>
      <c r="AC173" s="181"/>
      <c r="AD173" s="181"/>
      <c r="AE173" s="181"/>
      <c r="AF173" s="181"/>
      <c r="AG173" s="181"/>
      <c r="AH173" s="91"/>
      <c r="AI173" s="181"/>
      <c r="AJ173" s="181"/>
      <c r="AK173" s="181"/>
      <c r="AL173" s="181"/>
      <c r="AM173" s="181"/>
      <c r="AN173" s="91"/>
      <c r="AO173" s="88"/>
      <c r="AP173" s="181"/>
      <c r="AQ173" s="181"/>
      <c r="AR173" s="181"/>
      <c r="AS173" s="181"/>
      <c r="AT173" s="181"/>
      <c r="AU173" s="91"/>
      <c r="AV173" s="181"/>
      <c r="AW173" s="181"/>
      <c r="AX173" s="181"/>
      <c r="AY173" s="181"/>
      <c r="AZ173" s="181"/>
      <c r="BA173" s="91"/>
      <c r="BB173" s="181"/>
      <c r="BC173" s="181"/>
      <c r="BD173" s="181"/>
      <c r="BE173" s="181"/>
      <c r="BF173" s="181"/>
      <c r="BG173" s="91"/>
      <c r="BH173" s="181"/>
      <c r="BI173" s="181"/>
      <c r="BJ173" s="181"/>
      <c r="BK173" s="181"/>
      <c r="BL173" s="181"/>
      <c r="BM173" s="181"/>
      <c r="BN173" s="88"/>
      <c r="BO173" s="181"/>
      <c r="BP173" s="181"/>
      <c r="BQ173" s="181"/>
      <c r="BR173" s="181"/>
      <c r="BS173" s="181"/>
      <c r="BT173" s="91"/>
      <c r="BU173" s="181"/>
      <c r="BV173" s="181"/>
      <c r="BW173" s="181"/>
      <c r="BX173" s="181"/>
      <c r="BY173" s="181"/>
      <c r="BZ173" s="91"/>
      <c r="CA173" s="181"/>
      <c r="CB173" s="181"/>
      <c r="CC173" s="181"/>
      <c r="CD173" s="181"/>
      <c r="CE173" s="181"/>
      <c r="CF173" s="91"/>
      <c r="CG173" s="181"/>
      <c r="CH173" s="181"/>
      <c r="CI173" s="181"/>
      <c r="CJ173" s="181"/>
      <c r="CK173" s="181"/>
      <c r="CL173" s="181"/>
      <c r="CM173" s="181"/>
      <c r="CN173" s="181"/>
      <c r="CO173" s="181"/>
      <c r="CP173" s="181"/>
      <c r="CQ173" s="181"/>
      <c r="CR173" s="181"/>
      <c r="CS173" s="91"/>
      <c r="CT173" s="181"/>
      <c r="CU173" s="181"/>
      <c r="CV173" s="181"/>
      <c r="CW173" s="181"/>
      <c r="CX173" s="181"/>
      <c r="CY173" s="91"/>
      <c r="CZ173" s="181"/>
      <c r="DA173" s="181"/>
      <c r="DB173" s="181"/>
      <c r="DC173" s="181"/>
      <c r="DD173" s="181"/>
      <c r="DE173" s="91"/>
      <c r="DF173" s="181"/>
      <c r="DG173" s="181"/>
      <c r="DH173" s="181"/>
      <c r="DI173" s="181"/>
      <c r="DJ173" s="181"/>
    </row>
    <row r="174" spans="1:114" s="6" customFormat="1" x14ac:dyDescent="0.25">
      <c r="A174" s="80"/>
      <c r="B174" s="3"/>
      <c r="C174" s="3"/>
      <c r="D174" s="3"/>
      <c r="E174" s="3"/>
      <c r="F174" s="3"/>
      <c r="G174" s="3"/>
      <c r="H174" s="3"/>
      <c r="I174" s="3"/>
      <c r="J174" s="91"/>
      <c r="K174" s="91"/>
      <c r="L174" s="91"/>
      <c r="M174" s="91"/>
      <c r="N174" s="91"/>
      <c r="O174" s="40"/>
      <c r="P174" s="40"/>
      <c r="Q174" s="181"/>
      <c r="R174" s="181"/>
      <c r="S174" s="181"/>
      <c r="T174" s="181"/>
      <c r="U174" s="181"/>
      <c r="V174" s="91"/>
      <c r="W174" s="181"/>
      <c r="X174" s="181"/>
      <c r="Y174" s="181"/>
      <c r="Z174" s="181"/>
      <c r="AA174" s="181"/>
      <c r="AB174" s="91"/>
      <c r="AC174" s="181"/>
      <c r="AD174" s="181"/>
      <c r="AE174" s="181"/>
      <c r="AF174" s="181"/>
      <c r="AG174" s="181"/>
      <c r="AH174" s="91"/>
      <c r="AI174" s="181"/>
      <c r="AJ174" s="181"/>
      <c r="AK174" s="181"/>
      <c r="AL174" s="181"/>
      <c r="AM174" s="181"/>
      <c r="AN174" s="91"/>
      <c r="AO174" s="88"/>
      <c r="AP174" s="181"/>
      <c r="AQ174" s="181"/>
      <c r="AR174" s="181"/>
      <c r="AS174" s="181"/>
      <c r="AT174" s="181"/>
      <c r="AU174" s="91"/>
      <c r="AV174" s="181"/>
      <c r="AW174" s="181"/>
      <c r="AX174" s="181"/>
      <c r="AY174" s="181"/>
      <c r="AZ174" s="181"/>
      <c r="BA174" s="91"/>
      <c r="BB174" s="181"/>
      <c r="BC174" s="181"/>
      <c r="BD174" s="181"/>
      <c r="BE174" s="181"/>
      <c r="BF174" s="181"/>
      <c r="BG174" s="91"/>
      <c r="BH174" s="181"/>
      <c r="BI174" s="181"/>
      <c r="BJ174" s="181"/>
      <c r="BK174" s="181"/>
      <c r="BL174" s="181"/>
      <c r="BM174" s="181"/>
      <c r="BN174" s="88"/>
      <c r="BO174" s="181"/>
      <c r="BP174" s="181"/>
      <c r="BQ174" s="181"/>
      <c r="BR174" s="181"/>
      <c r="BS174" s="181"/>
      <c r="BT174" s="91"/>
      <c r="BU174" s="181"/>
      <c r="BV174" s="181"/>
      <c r="BW174" s="181"/>
      <c r="BX174" s="181"/>
      <c r="BY174" s="181"/>
      <c r="BZ174" s="91"/>
      <c r="CA174" s="181"/>
      <c r="CB174" s="181"/>
      <c r="CC174" s="181"/>
      <c r="CD174" s="181"/>
      <c r="CE174" s="181"/>
      <c r="CF174" s="91"/>
      <c r="CG174" s="181"/>
      <c r="CH174" s="181"/>
      <c r="CI174" s="181"/>
      <c r="CJ174" s="181"/>
      <c r="CK174" s="181"/>
      <c r="CL174" s="181"/>
      <c r="CM174" s="181"/>
      <c r="CN174" s="181"/>
      <c r="CO174" s="181"/>
      <c r="CP174" s="181"/>
      <c r="CQ174" s="181"/>
      <c r="CR174" s="181"/>
      <c r="CS174" s="91"/>
      <c r="CT174" s="181"/>
      <c r="CU174" s="181"/>
      <c r="CV174" s="181"/>
      <c r="CW174" s="181"/>
      <c r="CX174" s="181"/>
      <c r="CY174" s="91"/>
      <c r="CZ174" s="181"/>
      <c r="DA174" s="181"/>
      <c r="DB174" s="181"/>
      <c r="DC174" s="181"/>
      <c r="DD174" s="181"/>
      <c r="DE174" s="91"/>
      <c r="DF174" s="181"/>
      <c r="DG174" s="181"/>
      <c r="DH174" s="181"/>
      <c r="DI174" s="181"/>
      <c r="DJ174" s="181"/>
    </row>
  </sheetData>
  <sheetProtection formatCells="0" formatColumns="0" formatRows="0" insertColumns="0" insertRows="0" insertHyperlinks="0" deleteColumns="0" deleteRows="0" sort="0" autoFilter="0" pivotTables="0"/>
  <mergeCells count="213">
    <mergeCell ref="BU7:BZ8"/>
    <mergeCell ref="CA7:CF8"/>
    <mergeCell ref="F22:I22"/>
    <mergeCell ref="B1:G2"/>
    <mergeCell ref="B3:C4"/>
    <mergeCell ref="D3:G4"/>
    <mergeCell ref="B16:I16"/>
    <mergeCell ref="C17:I17"/>
    <mergeCell ref="B18:I18"/>
    <mergeCell ref="B19:I19"/>
    <mergeCell ref="B20:B96"/>
    <mergeCell ref="C20:C95"/>
    <mergeCell ref="D20:D38"/>
    <mergeCell ref="E20:I20"/>
    <mergeCell ref="E23:I23"/>
    <mergeCell ref="E31:I31"/>
    <mergeCell ref="E32:E37"/>
    <mergeCell ref="B14:I14"/>
    <mergeCell ref="F37:I37"/>
    <mergeCell ref="F24:I24"/>
    <mergeCell ref="E25:E30"/>
    <mergeCell ref="F25:I25"/>
    <mergeCell ref="F26:I26"/>
    <mergeCell ref="F27:I27"/>
    <mergeCell ref="DF3:DK6"/>
    <mergeCell ref="B5:C6"/>
    <mergeCell ref="D5:D6"/>
    <mergeCell ref="E5:I6"/>
    <mergeCell ref="CN3:CS6"/>
    <mergeCell ref="CT3:CY6"/>
    <mergeCell ref="BO3:BT6"/>
    <mergeCell ref="BU3:BZ6"/>
    <mergeCell ref="CA3:CF6"/>
    <mergeCell ref="CG3:CL6"/>
    <mergeCell ref="AC3:AH6"/>
    <mergeCell ref="AI3:AN6"/>
    <mergeCell ref="AP3:AU6"/>
    <mergeCell ref="AV3:BA6"/>
    <mergeCell ref="BB3:BG6"/>
    <mergeCell ref="BH3:BM6"/>
    <mergeCell ref="J3:O6"/>
    <mergeCell ref="Q3:V6"/>
    <mergeCell ref="W3:AB6"/>
    <mergeCell ref="CZ3:DE6"/>
    <mergeCell ref="DF7:DK8"/>
    <mergeCell ref="B10:I10"/>
    <mergeCell ref="B11:I11"/>
    <mergeCell ref="B12:I12"/>
    <mergeCell ref="B13:I13"/>
    <mergeCell ref="CT7:CY8"/>
    <mergeCell ref="CZ7:DE8"/>
    <mergeCell ref="F35:I35"/>
    <mergeCell ref="F36:I36"/>
    <mergeCell ref="CG7:CL8"/>
    <mergeCell ref="CN7:CS8"/>
    <mergeCell ref="AI7:AN8"/>
    <mergeCell ref="AP7:AU8"/>
    <mergeCell ref="AV7:BA8"/>
    <mergeCell ref="BB7:BG8"/>
    <mergeCell ref="BH7:BM8"/>
    <mergeCell ref="BO7:BT8"/>
    <mergeCell ref="B7:I9"/>
    <mergeCell ref="J7:O8"/>
    <mergeCell ref="Q7:V8"/>
    <mergeCell ref="W7:AB8"/>
    <mergeCell ref="AC7:AH8"/>
    <mergeCell ref="B15:I15"/>
    <mergeCell ref="E21:I21"/>
    <mergeCell ref="F28:I28"/>
    <mergeCell ref="F29:I29"/>
    <mergeCell ref="F30:I30"/>
    <mergeCell ref="F32:I32"/>
    <mergeCell ref="F33:I33"/>
    <mergeCell ref="F34:I34"/>
    <mergeCell ref="E38:I38"/>
    <mergeCell ref="E39:E45"/>
    <mergeCell ref="F39:I39"/>
    <mergeCell ref="F40:I40"/>
    <mergeCell ref="F41:I41"/>
    <mergeCell ref="F42:I42"/>
    <mergeCell ref="F43:I43"/>
    <mergeCell ref="F44:I44"/>
    <mergeCell ref="F45:I45"/>
    <mergeCell ref="E53:I53"/>
    <mergeCell ref="E54:I54"/>
    <mergeCell ref="E55:I55"/>
    <mergeCell ref="E56:I56"/>
    <mergeCell ref="E46:E52"/>
    <mergeCell ref="F46:I46"/>
    <mergeCell ref="F47:I47"/>
    <mergeCell ref="F48:I48"/>
    <mergeCell ref="F49:I49"/>
    <mergeCell ref="F50:I50"/>
    <mergeCell ref="F51:I51"/>
    <mergeCell ref="F52:I52"/>
    <mergeCell ref="F69:I69"/>
    <mergeCell ref="F70:I70"/>
    <mergeCell ref="E82:I82"/>
    <mergeCell ref="E57:I57"/>
    <mergeCell ref="E58:E63"/>
    <mergeCell ref="F58:I58"/>
    <mergeCell ref="F59:I59"/>
    <mergeCell ref="F60:I60"/>
    <mergeCell ref="F61:I61"/>
    <mergeCell ref="F62:I62"/>
    <mergeCell ref="F63:I63"/>
    <mergeCell ref="E81:I81"/>
    <mergeCell ref="E71:E72"/>
    <mergeCell ref="F71:I71"/>
    <mergeCell ref="F72:I72"/>
    <mergeCell ref="E73:E74"/>
    <mergeCell ref="F73:I73"/>
    <mergeCell ref="F74:I74"/>
    <mergeCell ref="E64:I64"/>
    <mergeCell ref="D39:D64"/>
    <mergeCell ref="E75:I75"/>
    <mergeCell ref="E76:I76"/>
    <mergeCell ref="E77:I77"/>
    <mergeCell ref="E78:I78"/>
    <mergeCell ref="E83:I83"/>
    <mergeCell ref="E85:I85"/>
    <mergeCell ref="E86:E91"/>
    <mergeCell ref="F86:I86"/>
    <mergeCell ref="F87:I87"/>
    <mergeCell ref="F88:I88"/>
    <mergeCell ref="F89:I89"/>
    <mergeCell ref="F90:I90"/>
    <mergeCell ref="F91:I91"/>
    <mergeCell ref="E79:E80"/>
    <mergeCell ref="F79:I79"/>
    <mergeCell ref="F80:I80"/>
    <mergeCell ref="D65:D91"/>
    <mergeCell ref="E65:I65"/>
    <mergeCell ref="F66:I66"/>
    <mergeCell ref="E67:E68"/>
    <mergeCell ref="F67:I67"/>
    <mergeCell ref="F68:I68"/>
    <mergeCell ref="E69:E70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C103:D108"/>
    <mergeCell ref="E103:I103"/>
    <mergeCell ref="E104:I104"/>
    <mergeCell ref="E105:I105"/>
    <mergeCell ref="E106:I106"/>
    <mergeCell ref="E107:I107"/>
    <mergeCell ref="E108:I108"/>
    <mergeCell ref="C118:I118"/>
    <mergeCell ref="E92:I92"/>
    <mergeCell ref="D93:I93"/>
    <mergeCell ref="D94:I94"/>
    <mergeCell ref="D95:I95"/>
    <mergeCell ref="C96:I96"/>
    <mergeCell ref="C109:D117"/>
    <mergeCell ref="E109:I109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B148:I148"/>
    <mergeCell ref="B149:I149"/>
    <mergeCell ref="B119:I119"/>
    <mergeCell ref="B120:B122"/>
    <mergeCell ref="C120:I120"/>
    <mergeCell ref="C121:I121"/>
    <mergeCell ref="C122:I122"/>
    <mergeCell ref="B135:I135"/>
    <mergeCell ref="B123:I123"/>
    <mergeCell ref="B124:I124"/>
    <mergeCell ref="B125:I125"/>
    <mergeCell ref="B126:I126"/>
    <mergeCell ref="B127:I127"/>
    <mergeCell ref="B128:I128"/>
    <mergeCell ref="B129:I129"/>
    <mergeCell ref="B130:I130"/>
    <mergeCell ref="B131:I131"/>
    <mergeCell ref="B132:I132"/>
    <mergeCell ref="B133:I133"/>
    <mergeCell ref="B134:I134"/>
    <mergeCell ref="E84:I84"/>
    <mergeCell ref="B157:I157"/>
    <mergeCell ref="B158:I158"/>
    <mergeCell ref="B159:I159"/>
    <mergeCell ref="B160:I160"/>
    <mergeCell ref="B151:I151"/>
    <mergeCell ref="B152:I152"/>
    <mergeCell ref="B153:I153"/>
    <mergeCell ref="B154:I154"/>
    <mergeCell ref="B155:I155"/>
    <mergeCell ref="B156:I156"/>
    <mergeCell ref="B150:I150"/>
    <mergeCell ref="B136:I136"/>
    <mergeCell ref="B137:I137"/>
    <mergeCell ref="B138:I138"/>
    <mergeCell ref="B139:I139"/>
    <mergeCell ref="B140:I140"/>
    <mergeCell ref="B141:I141"/>
    <mergeCell ref="B143:I143"/>
    <mergeCell ref="B144:I144"/>
    <mergeCell ref="B145:I145"/>
    <mergeCell ref="B142:I142"/>
    <mergeCell ref="B146:I146"/>
    <mergeCell ref="B147:I147"/>
  </mergeCells>
  <phoneticPr fontId="15"/>
  <printOptions horizontalCentered="1"/>
  <pageMargins left="0.23622047244094491" right="0.23622047244094491" top="0.74803149606299213" bottom="0.74803149606299213" header="0.31496062992125978" footer="0.31496062992125978"/>
  <pageSetup paperSize="8" scale="45" orientation="portrait" r:id="rId1"/>
  <headerFooter alignWithMargins="0"/>
  <rowBreaks count="2" manualBreakCount="2">
    <brk id="123" man="1"/>
    <brk id="123" min="1" max="11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予算表</vt:lpstr>
      <vt:lpstr>予算表!Print_Area</vt:lpstr>
      <vt:lpstr>予算表!Print_Titles</vt:lpstr>
    </vt:vector>
  </TitlesOfParts>
  <Manager/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啓之</dc:creator>
  <cp:keywords/>
  <dc:description/>
  <cp:lastModifiedBy>大江 啓之</cp:lastModifiedBy>
  <dcterms:created xsi:type="dcterms:W3CDTF">2015-09-08T05:21:14Z</dcterms:created>
  <dcterms:modified xsi:type="dcterms:W3CDTF">2020-10-27T07:32:42Z</dcterms:modified>
  <cp:category/>
</cp:coreProperties>
</file>